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son.dpereira\Documents\Excel Básico ao Avançado 2026\"/>
    </mc:Choice>
  </mc:AlternateContent>
  <xr:revisionPtr revIDLastSave="0" documentId="13_ncr:1_{774C62BE-D00A-45DE-B7DD-69043E531F74}" xr6:coauthVersionLast="47" xr6:coauthVersionMax="47" xr10:uidLastSave="{00000000-0000-0000-0000-000000000000}"/>
  <bookViews>
    <workbookView xWindow="-120" yWindow="-120" windowWidth="29040" windowHeight="15720" activeTab="4" xr2:uid="{1C2DC17D-2D4E-405F-8EBD-6DFF46C62BD5}"/>
  </bookViews>
  <sheets>
    <sheet name="Controle de Estoque" sheetId="1" r:id="rId1"/>
    <sheet name="Jogos da Sorte" sheetId="2" r:id="rId2"/>
    <sheet name="Produtos" sheetId="3" r:id="rId3"/>
    <sheet name="Região e Vendas" sheetId="4" r:id="rId4"/>
    <sheet name="Produtos e Preç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5" l="1"/>
  <c r="D6" i="5"/>
  <c r="D5" i="5"/>
  <c r="D4" i="5"/>
  <c r="D3" i="5"/>
  <c r="D2" i="5"/>
  <c r="C7" i="5"/>
  <c r="C3" i="5"/>
  <c r="C4" i="5"/>
  <c r="C5" i="5"/>
  <c r="C6" i="5"/>
  <c r="C2" i="5"/>
  <c r="C14" i="4"/>
  <c r="D14" i="4"/>
  <c r="D13" i="4"/>
  <c r="C13" i="4"/>
  <c r="A4" i="2"/>
  <c r="B3" i="2"/>
  <c r="C3" i="2"/>
  <c r="D3" i="2"/>
  <c r="E3" i="2"/>
  <c r="F3" i="2"/>
  <c r="A3" i="2"/>
  <c r="D32" i="1"/>
  <c r="C31" i="1"/>
  <c r="E27" i="1"/>
  <c r="E28" i="1"/>
  <c r="E29" i="1"/>
  <c r="E30" i="1"/>
  <c r="E26" i="1"/>
  <c r="D27" i="1"/>
  <c r="D28" i="1"/>
  <c r="D29" i="1"/>
  <c r="D30" i="1"/>
  <c r="D26" i="1"/>
  <c r="C30" i="1"/>
  <c r="C29" i="1"/>
  <c r="C28" i="1"/>
  <c r="C27" i="1"/>
  <c r="C26" i="1"/>
  <c r="D22" i="1"/>
  <c r="D23" i="1"/>
  <c r="D21" i="1"/>
  <c r="C22" i="1"/>
  <c r="C23" i="1"/>
  <c r="C21" i="1"/>
  <c r="D18" i="1"/>
  <c r="C18" i="1"/>
  <c r="I16" i="1"/>
  <c r="I5" i="1"/>
  <c r="I4" i="1"/>
  <c r="I6" i="1"/>
  <c r="I7" i="1"/>
  <c r="I8" i="1"/>
  <c r="I9" i="1"/>
  <c r="I10" i="1"/>
  <c r="I11" i="1"/>
  <c r="I12" i="1"/>
  <c r="I13" i="1"/>
  <c r="I14" i="1"/>
  <c r="I15" i="1"/>
  <c r="I3" i="1"/>
  <c r="C17" i="1"/>
  <c r="D17" i="1"/>
</calcChain>
</file>

<file path=xl/sharedStrings.xml><?xml version="1.0" encoding="utf-8"?>
<sst xmlns="http://schemas.openxmlformats.org/spreadsheetml/2006/main" count="133" uniqueCount="80">
  <si>
    <t>CONTROLE DE ESTOQUE</t>
  </si>
  <si>
    <t>Código</t>
  </si>
  <si>
    <t>Produto</t>
  </si>
  <si>
    <t>Tamanho</t>
  </si>
  <si>
    <t>Cor</t>
  </si>
  <si>
    <t>Marca</t>
  </si>
  <si>
    <t>Qtde</t>
  </si>
  <si>
    <t>Preço Custo</t>
  </si>
  <si>
    <t>Preço Venda</t>
  </si>
  <si>
    <t>Calça</t>
  </si>
  <si>
    <t>Camisa Social</t>
  </si>
  <si>
    <t>Camisete Infantil</t>
  </si>
  <si>
    <t>Blusa de Lã</t>
  </si>
  <si>
    <t>Bermuda Jeans</t>
  </si>
  <si>
    <t>Calça Jeans Feminina</t>
  </si>
  <si>
    <t>Calça Jeans Masculina</t>
  </si>
  <si>
    <t>Vestido Longo</t>
  </si>
  <si>
    <t>Saia Jeans</t>
  </si>
  <si>
    <t>Blusa Feminina</t>
  </si>
  <si>
    <t>Camiseta Masculina</t>
  </si>
  <si>
    <t>Calça Infantil</t>
  </si>
  <si>
    <t>P</t>
  </si>
  <si>
    <t>M</t>
  </si>
  <si>
    <t>GG</t>
  </si>
  <si>
    <t>Único</t>
  </si>
  <si>
    <t>Preto</t>
  </si>
  <si>
    <t>Azul</t>
  </si>
  <si>
    <t>Amarela</t>
  </si>
  <si>
    <t>Azul Escuro</t>
  </si>
  <si>
    <t>Azul Claro</t>
  </si>
  <si>
    <t>Vermelho</t>
  </si>
  <si>
    <t>Verde</t>
  </si>
  <si>
    <t>Verde Escuro</t>
  </si>
  <si>
    <t>Bolsa de Couro</t>
  </si>
  <si>
    <t>Estilo K</t>
  </si>
  <si>
    <t>Alfa Looks</t>
  </si>
  <si>
    <t>Geração Z</t>
  </si>
  <si>
    <t>Branco</t>
  </si>
  <si>
    <t>Qtde de estoque</t>
  </si>
  <si>
    <t>Total estoque (custo)</t>
  </si>
  <si>
    <t>Total por marca</t>
  </si>
  <si>
    <t>G</t>
  </si>
  <si>
    <t>Total do Preço de Custo</t>
  </si>
  <si>
    <t>Jogos da sorte para essa semana</t>
  </si>
  <si>
    <t>Dezena 1</t>
  </si>
  <si>
    <t>Dezena 2</t>
  </si>
  <si>
    <t>Dezena 3</t>
  </si>
  <si>
    <t>Dezena 4</t>
  </si>
  <si>
    <t>Dezena 5</t>
  </si>
  <si>
    <t>Dezena 6</t>
  </si>
  <si>
    <t>Valor Unitário</t>
  </si>
  <si>
    <t>Total</t>
  </si>
  <si>
    <t>Mouse Óptico</t>
  </si>
  <si>
    <t>Monitor 24"</t>
  </si>
  <si>
    <t>Webcam 1090p</t>
  </si>
  <si>
    <t>Headset USB</t>
  </si>
  <si>
    <t>Adaptador HDMI</t>
  </si>
  <si>
    <t>Logitech</t>
  </si>
  <si>
    <t>Sansung</t>
  </si>
  <si>
    <t>Dell</t>
  </si>
  <si>
    <t>Hyper X</t>
  </si>
  <si>
    <t>Região</t>
  </si>
  <si>
    <t>Vendas</t>
  </si>
  <si>
    <t>Norte</t>
  </si>
  <si>
    <t>Sul</t>
  </si>
  <si>
    <t>Leste</t>
  </si>
  <si>
    <t>A</t>
  </si>
  <si>
    <t>B</t>
  </si>
  <si>
    <t>C</t>
  </si>
  <si>
    <t>Soma</t>
  </si>
  <si>
    <t>Subtotal</t>
  </si>
  <si>
    <t>Item</t>
  </si>
  <si>
    <t>Arredondar para cima</t>
  </si>
  <si>
    <t>Valor Original</t>
  </si>
  <si>
    <t>Arredondar para baixo</t>
  </si>
  <si>
    <t>Café Gourmet</t>
  </si>
  <si>
    <t>Azeite de Oliva</t>
  </si>
  <si>
    <t>Chocolate 70%</t>
  </si>
  <si>
    <t>Detergente</t>
  </si>
  <si>
    <t>Pão de 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</si>
</sst>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43" fontId="1" fillId="0" borderId="0" applyFont="0" applyFill="0" applyBorder="0" applyAlignment="0" applyProtection="0"/>
    <xf numFmtId="0" fontId="6" fillId="4" borderId="0" applyNumberFormat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1" xfId="0" applyFont="1" applyBorder="1"/>
    <xf numFmtId="44" fontId="3" fillId="0" borderId="1" xfId="1" applyFont="1" applyBorder="1"/>
    <xf numFmtId="0" fontId="2" fillId="2" borderId="2" xfId="2" applyFont="1" applyBorder="1" applyAlignment="1">
      <alignment horizontal="center"/>
    </xf>
    <xf numFmtId="0" fontId="4" fillId="2" borderId="1" xfId="2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2" applyFont="1" applyBorder="1" applyAlignment="1">
      <alignment horizontal="center" vertical="center"/>
    </xf>
    <xf numFmtId="0" fontId="4" fillId="2" borderId="1" xfId="2" applyFont="1" applyBorder="1" applyAlignment="1">
      <alignment horizontal="center" vertical="center" wrapText="1"/>
    </xf>
    <xf numFmtId="0" fontId="7" fillId="0" borderId="1" xfId="0" applyFont="1" applyBorder="1"/>
    <xf numFmtId="43" fontId="7" fillId="0" borderId="1" xfId="4" applyFont="1" applyBorder="1"/>
    <xf numFmtId="43" fontId="3" fillId="0" borderId="1" xfId="4" applyFont="1" applyBorder="1"/>
    <xf numFmtId="0" fontId="4" fillId="3" borderId="2" xfId="3" applyFont="1" applyBorder="1" applyAlignment="1">
      <alignment horizontal="center"/>
    </xf>
    <xf numFmtId="0" fontId="6" fillId="4" borderId="0" xfId="5" applyAlignment="1">
      <alignment horizontal="center"/>
    </xf>
    <xf numFmtId="0" fontId="4" fillId="0" borderId="1" xfId="0" applyFont="1" applyFill="1" applyBorder="1"/>
    <xf numFmtId="43" fontId="0" fillId="0" borderId="1" xfId="0" applyNumberFormat="1" applyBorder="1"/>
    <xf numFmtId="43" fontId="0" fillId="0" borderId="1" xfId="4" applyFont="1" applyBorder="1"/>
    <xf numFmtId="0" fontId="8" fillId="3" borderId="1" xfId="3" applyFont="1" applyBorder="1" applyAlignment="1">
      <alignment vertical="center"/>
    </xf>
    <xf numFmtId="0" fontId="8" fillId="3" borderId="1" xfId="3" applyFont="1" applyBorder="1" applyAlignment="1">
      <alignment vertical="center" wrapText="1"/>
    </xf>
    <xf numFmtId="43" fontId="4" fillId="0" borderId="1" xfId="4" applyNumberFormat="1" applyFont="1" applyBorder="1"/>
    <xf numFmtId="43" fontId="4" fillId="0" borderId="1" xfId="0" applyNumberFormat="1" applyFont="1" applyBorder="1"/>
    <xf numFmtId="0" fontId="0" fillId="0" borderId="0" xfId="0" applyBorder="1"/>
    <xf numFmtId="43" fontId="4" fillId="0" borderId="0" xfId="0" applyNumberFormat="1" applyFont="1" applyFill="1" applyBorder="1"/>
  </cellXfs>
  <cellStyles count="6">
    <cellStyle name="40% - Ênfase1" xfId="2" builtinId="31"/>
    <cellStyle name="60% - Ênfase1" xfId="3" builtinId="32"/>
    <cellStyle name="Ênfase2" xfId="5" builtinId="33"/>
    <cellStyle name="Moeda" xfId="1" builtinId="4"/>
    <cellStyle name="Normal" xfId="0" builtinId="0"/>
    <cellStyle name="Vírgula" xfId="4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FBE59-C274-437B-94D8-C261D0137167}">
  <dimension ref="A1:I32"/>
  <sheetViews>
    <sheetView showGridLines="0" zoomScale="130" zoomScaleNormal="130" workbookViewId="0">
      <selection activeCell="C18" sqref="C18"/>
    </sheetView>
  </sheetViews>
  <sheetFormatPr defaultRowHeight="15" x14ac:dyDescent="0.25"/>
  <cols>
    <col min="1" max="1" width="5.85546875" style="1" customWidth="1"/>
    <col min="2" max="2" width="18.42578125" style="1" customWidth="1"/>
    <col min="3" max="3" width="13.5703125" style="1" customWidth="1"/>
    <col min="4" max="4" width="10.85546875" style="1" customWidth="1"/>
    <col min="5" max="5" width="9.140625" style="1"/>
    <col min="6" max="6" width="6" style="1" customWidth="1"/>
    <col min="7" max="7" width="8.140625" style="1" customWidth="1"/>
    <col min="8" max="8" width="7.7109375" style="1" customWidth="1"/>
    <col min="9" max="9" width="11.42578125" style="1" customWidth="1"/>
    <col min="10" max="10" width="14.28515625" style="1" customWidth="1"/>
    <col min="11" max="16384" width="9.140625" style="1"/>
  </cols>
  <sheetData>
    <row r="1" spans="1:9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</row>
    <row r="2" spans="1:9" ht="45" x14ac:dyDescent="0.2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7</v>
      </c>
      <c r="H2" s="9" t="s">
        <v>8</v>
      </c>
      <c r="I2" s="9" t="s">
        <v>42</v>
      </c>
    </row>
    <row r="3" spans="1:9" x14ac:dyDescent="0.25">
      <c r="A3" s="10">
        <v>1255</v>
      </c>
      <c r="B3" s="10" t="s">
        <v>9</v>
      </c>
      <c r="C3" s="10" t="s">
        <v>21</v>
      </c>
      <c r="D3" s="10" t="s">
        <v>25</v>
      </c>
      <c r="E3" s="10" t="s">
        <v>34</v>
      </c>
      <c r="F3" s="10">
        <v>10</v>
      </c>
      <c r="G3" s="11">
        <v>36.9</v>
      </c>
      <c r="H3" s="11">
        <v>92.25</v>
      </c>
      <c r="I3" s="11">
        <f>PRODUCT(F3:G3)</f>
        <v>369</v>
      </c>
    </row>
    <row r="4" spans="1:9" x14ac:dyDescent="0.25">
      <c r="A4" s="10">
        <v>1256</v>
      </c>
      <c r="B4" s="10" t="s">
        <v>10</v>
      </c>
      <c r="C4" s="10" t="s">
        <v>22</v>
      </c>
      <c r="D4" s="10" t="s">
        <v>37</v>
      </c>
      <c r="E4" s="10" t="s">
        <v>35</v>
      </c>
      <c r="F4" s="10">
        <v>5</v>
      </c>
      <c r="G4" s="11">
        <v>55.1</v>
      </c>
      <c r="H4" s="11">
        <v>137.75</v>
      </c>
      <c r="I4" s="11">
        <f>PRODUCT(F4:G4)</f>
        <v>275.5</v>
      </c>
    </row>
    <row r="5" spans="1:9" x14ac:dyDescent="0.25">
      <c r="A5" s="10">
        <v>1257</v>
      </c>
      <c r="B5" s="10" t="s">
        <v>11</v>
      </c>
      <c r="C5" s="10" t="s">
        <v>23</v>
      </c>
      <c r="D5" s="10" t="s">
        <v>26</v>
      </c>
      <c r="E5" s="10" t="s">
        <v>36</v>
      </c>
      <c r="F5" s="10">
        <v>30</v>
      </c>
      <c r="G5" s="11">
        <v>69.98</v>
      </c>
      <c r="H5" s="11">
        <v>174.95</v>
      </c>
      <c r="I5" s="11">
        <f>PRODUCT(F5:G5)</f>
        <v>2099.4</v>
      </c>
    </row>
    <row r="6" spans="1:9" x14ac:dyDescent="0.25">
      <c r="A6" s="10">
        <v>1258</v>
      </c>
      <c r="B6" s="10" t="s">
        <v>12</v>
      </c>
      <c r="C6" s="10" t="s">
        <v>21</v>
      </c>
      <c r="D6" s="10" t="s">
        <v>27</v>
      </c>
      <c r="E6" s="10" t="s">
        <v>35</v>
      </c>
      <c r="F6" s="10">
        <v>18</v>
      </c>
      <c r="G6" s="11">
        <v>52</v>
      </c>
      <c r="H6" s="11">
        <v>130</v>
      </c>
      <c r="I6" s="11">
        <f>PRODUCT(F6:G6)</f>
        <v>936</v>
      </c>
    </row>
    <row r="7" spans="1:9" x14ac:dyDescent="0.25">
      <c r="A7" s="10">
        <v>1259</v>
      </c>
      <c r="B7" s="10" t="s">
        <v>13</v>
      </c>
      <c r="C7" s="10" t="s">
        <v>22</v>
      </c>
      <c r="D7" s="10" t="s">
        <v>28</v>
      </c>
      <c r="E7" s="10" t="s">
        <v>36</v>
      </c>
      <c r="F7" s="10">
        <v>3</v>
      </c>
      <c r="G7" s="11">
        <v>115</v>
      </c>
      <c r="H7" s="11">
        <v>287.5</v>
      </c>
      <c r="I7" s="11">
        <f>PRODUCT(F7:G7)</f>
        <v>345</v>
      </c>
    </row>
    <row r="8" spans="1:9" x14ac:dyDescent="0.25">
      <c r="A8" s="10">
        <v>1260</v>
      </c>
      <c r="B8" s="10" t="s">
        <v>14</v>
      </c>
      <c r="C8" s="10" t="s">
        <v>22</v>
      </c>
      <c r="D8" s="10" t="s">
        <v>29</v>
      </c>
      <c r="E8" s="10" t="s">
        <v>34</v>
      </c>
      <c r="F8" s="10">
        <v>9</v>
      </c>
      <c r="G8" s="11">
        <v>99.3</v>
      </c>
      <c r="H8" s="11">
        <v>248.25</v>
      </c>
      <c r="I8" s="11">
        <f>PRODUCT(F8:G8)</f>
        <v>893.69999999999993</v>
      </c>
    </row>
    <row r="9" spans="1:9" x14ac:dyDescent="0.25">
      <c r="A9" s="10">
        <v>1261</v>
      </c>
      <c r="B9" s="10" t="s">
        <v>15</v>
      </c>
      <c r="C9" s="10" t="s">
        <v>22</v>
      </c>
      <c r="D9" s="10" t="s">
        <v>25</v>
      </c>
      <c r="E9" s="10" t="s">
        <v>35</v>
      </c>
      <c r="F9" s="10">
        <v>15</v>
      </c>
      <c r="G9" s="11">
        <v>93.8</v>
      </c>
      <c r="H9" s="11">
        <v>234.5</v>
      </c>
      <c r="I9" s="11">
        <f>PRODUCT(F9:G9)</f>
        <v>1407</v>
      </c>
    </row>
    <row r="10" spans="1:9" x14ac:dyDescent="0.25">
      <c r="A10" s="10">
        <v>1262</v>
      </c>
      <c r="B10" s="10" t="s">
        <v>16</v>
      </c>
      <c r="C10" s="10" t="s">
        <v>23</v>
      </c>
      <c r="D10" s="10" t="s">
        <v>30</v>
      </c>
      <c r="E10" s="10" t="s">
        <v>34</v>
      </c>
      <c r="F10" s="10">
        <v>22</v>
      </c>
      <c r="G10" s="11">
        <v>81</v>
      </c>
      <c r="H10" s="11">
        <v>202.5</v>
      </c>
      <c r="I10" s="11">
        <f>PRODUCT(F10:G10)</f>
        <v>1782</v>
      </c>
    </row>
    <row r="11" spans="1:9" x14ac:dyDescent="0.25">
      <c r="A11" s="10">
        <v>1263</v>
      </c>
      <c r="B11" s="10" t="s">
        <v>17</v>
      </c>
      <c r="C11" s="10" t="s">
        <v>23</v>
      </c>
      <c r="D11" s="10" t="s">
        <v>29</v>
      </c>
      <c r="E11" s="10" t="s">
        <v>34</v>
      </c>
      <c r="F11" s="10">
        <v>34</v>
      </c>
      <c r="G11" s="11">
        <v>59</v>
      </c>
      <c r="H11" s="11">
        <v>147.5</v>
      </c>
      <c r="I11" s="11">
        <f>PRODUCT(F11:G11)</f>
        <v>2006</v>
      </c>
    </row>
    <row r="12" spans="1:9" x14ac:dyDescent="0.25">
      <c r="A12" s="10">
        <v>1264</v>
      </c>
      <c r="B12" s="10" t="s">
        <v>18</v>
      </c>
      <c r="C12" s="10" t="s">
        <v>22</v>
      </c>
      <c r="D12" s="10" t="s">
        <v>25</v>
      </c>
      <c r="E12" s="10" t="s">
        <v>34</v>
      </c>
      <c r="F12" s="10">
        <v>12</v>
      </c>
      <c r="G12" s="11">
        <v>22</v>
      </c>
      <c r="H12" s="11">
        <v>55</v>
      </c>
      <c r="I12" s="11">
        <f>PRODUCT(F12:G12)</f>
        <v>264</v>
      </c>
    </row>
    <row r="13" spans="1:9" x14ac:dyDescent="0.25">
      <c r="A13" s="10">
        <v>1265</v>
      </c>
      <c r="B13" s="10" t="s">
        <v>19</v>
      </c>
      <c r="C13" s="10" t="s">
        <v>23</v>
      </c>
      <c r="D13" s="10" t="s">
        <v>31</v>
      </c>
      <c r="E13" s="10" t="s">
        <v>36</v>
      </c>
      <c r="F13" s="10">
        <v>19</v>
      </c>
      <c r="G13" s="11">
        <v>27.91</v>
      </c>
      <c r="H13" s="11">
        <v>69.75</v>
      </c>
      <c r="I13" s="11">
        <f>PRODUCT(F13:G13)</f>
        <v>530.29</v>
      </c>
    </row>
    <row r="14" spans="1:9" x14ac:dyDescent="0.25">
      <c r="A14" s="10">
        <v>1266</v>
      </c>
      <c r="B14" s="10" t="s">
        <v>33</v>
      </c>
      <c r="C14" s="10" t="s">
        <v>24</v>
      </c>
      <c r="D14" s="10" t="s">
        <v>25</v>
      </c>
      <c r="E14" s="10" t="s">
        <v>34</v>
      </c>
      <c r="F14" s="10">
        <v>1</v>
      </c>
      <c r="G14" s="11">
        <v>213.5</v>
      </c>
      <c r="H14" s="11">
        <v>533.72</v>
      </c>
      <c r="I14" s="11">
        <f>PRODUCT(F14:G14)</f>
        <v>213.5</v>
      </c>
    </row>
    <row r="15" spans="1:9" x14ac:dyDescent="0.25">
      <c r="A15" s="10">
        <v>1267</v>
      </c>
      <c r="B15" s="10" t="s">
        <v>20</v>
      </c>
      <c r="C15" s="10" t="s">
        <v>21</v>
      </c>
      <c r="D15" s="10" t="s">
        <v>32</v>
      </c>
      <c r="E15" s="10" t="s">
        <v>36</v>
      </c>
      <c r="F15" s="10">
        <v>5</v>
      </c>
      <c r="G15" s="11">
        <v>10.9</v>
      </c>
      <c r="H15" s="11">
        <v>27.25</v>
      </c>
      <c r="I15" s="11">
        <f>PRODUCT(F15:G15)</f>
        <v>54.5</v>
      </c>
    </row>
    <row r="16" spans="1:9" x14ac:dyDescent="0.25">
      <c r="I16" s="12">
        <f>SUM(I3:I15)</f>
        <v>11175.89</v>
      </c>
    </row>
    <row r="17" spans="2:5" x14ac:dyDescent="0.25">
      <c r="B17" s="3" t="s">
        <v>38</v>
      </c>
      <c r="C17" s="2">
        <f>SUM(F3:F15)</f>
        <v>183</v>
      </c>
      <c r="D17" s="1" t="str">
        <f ca="1">_xlfn.FORMULATEXT(C17)</f>
        <v>=SOMA(F3:F15)</v>
      </c>
    </row>
    <row r="18" spans="2:5" x14ac:dyDescent="0.25">
      <c r="B18" s="3" t="s">
        <v>39</v>
      </c>
      <c r="C18" s="12">
        <f>SUMPRODUCT(F3:F15,G3:G15)</f>
        <v>11175.89</v>
      </c>
      <c r="D18" s="1" t="str">
        <f ca="1">_xlfn.FORMULATEXT(C18)</f>
        <v>=SOMARPRODUTO(F3:F15;G3:G15)</v>
      </c>
    </row>
    <row r="20" spans="2:5" x14ac:dyDescent="0.25">
      <c r="B20" s="5" t="s">
        <v>40</v>
      </c>
      <c r="C20" s="5"/>
    </row>
    <row r="21" spans="2:5" x14ac:dyDescent="0.25">
      <c r="B21" s="3" t="s">
        <v>34</v>
      </c>
      <c r="C21" s="2">
        <f>SUMIF($E$3:$E$15,B21,$F$3:$F$15)</f>
        <v>88</v>
      </c>
      <c r="D21" s="1" t="str">
        <f ca="1">_xlfn.FORMULATEXT(C21)</f>
        <v>=SOMASE($E$3:$E$15;B21;$F$3:$F$15)</v>
      </c>
    </row>
    <row r="22" spans="2:5" x14ac:dyDescent="0.25">
      <c r="B22" s="3" t="s">
        <v>35</v>
      </c>
      <c r="C22" s="2">
        <f t="shared" ref="C22:C23" si="0">SUMIF($E$3:$E$15,B22,$F$3:$F$15)</f>
        <v>38</v>
      </c>
      <c r="D22" s="1" t="str">
        <f t="shared" ref="D22:D23" ca="1" si="1">_xlfn.FORMULATEXT(C22)</f>
        <v>=SOMASE($E$3:$E$15;B22;$F$3:$F$15)</v>
      </c>
    </row>
    <row r="23" spans="2:5" x14ac:dyDescent="0.25">
      <c r="B23" s="3" t="s">
        <v>36</v>
      </c>
      <c r="C23" s="2">
        <f t="shared" si="0"/>
        <v>57</v>
      </c>
      <c r="D23" s="1" t="str">
        <f t="shared" ca="1" si="1"/>
        <v>=SOMASE($E$3:$E$15;B23;$F$3:$F$15)</v>
      </c>
    </row>
    <row r="25" spans="2:5" x14ac:dyDescent="0.25">
      <c r="B25" s="6" t="s">
        <v>34</v>
      </c>
      <c r="C25" s="6"/>
      <c r="D25" s="3" t="s">
        <v>35</v>
      </c>
      <c r="E25" s="3" t="s">
        <v>36</v>
      </c>
    </row>
    <row r="26" spans="2:5" x14ac:dyDescent="0.25">
      <c r="B26" s="2" t="s">
        <v>21</v>
      </c>
      <c r="C26" s="7">
        <f>SUMIFS($F$3:$F$15,$E$3:$E$15,$B$25,$C$3:$C$15,B26)</f>
        <v>10</v>
      </c>
      <c r="D26" s="7">
        <f>SUMIFS($F$3:$F$15,$E$3:$E$15,$D$25,$C$3:$C$15,B26)</f>
        <v>18</v>
      </c>
      <c r="E26" s="7">
        <f>SUMIFS($F$3:$F$15,$E$3:$E$15,$E$25,$C$3:$C$15,B26)</f>
        <v>5</v>
      </c>
    </row>
    <row r="27" spans="2:5" x14ac:dyDescent="0.25">
      <c r="B27" s="2" t="s">
        <v>22</v>
      </c>
      <c r="C27" s="7">
        <f t="shared" ref="C27:C30" si="2">SUMIFS($F$3:$F$15,$E$3:$E$15,$B$25,$C$3:$C$15,B27)</f>
        <v>21</v>
      </c>
      <c r="D27" s="7">
        <f t="shared" ref="D27:D30" si="3">SUMIFS($F$3:$F$15,$E$3:$E$15,$D$25,$C$3:$C$15,B27)</f>
        <v>20</v>
      </c>
      <c r="E27" s="7">
        <f t="shared" ref="E27:E30" si="4">SUMIFS($F$3:$F$15,$E$3:$E$15,$E$25,$C$3:$C$15,B27)</f>
        <v>3</v>
      </c>
    </row>
    <row r="28" spans="2:5" x14ac:dyDescent="0.25">
      <c r="B28" s="2" t="s">
        <v>41</v>
      </c>
      <c r="C28" s="7">
        <f t="shared" si="2"/>
        <v>0</v>
      </c>
      <c r="D28" s="7">
        <f t="shared" si="3"/>
        <v>0</v>
      </c>
      <c r="E28" s="7">
        <f t="shared" si="4"/>
        <v>0</v>
      </c>
    </row>
    <row r="29" spans="2:5" x14ac:dyDescent="0.25">
      <c r="B29" s="2" t="s">
        <v>23</v>
      </c>
      <c r="C29" s="7">
        <f t="shared" si="2"/>
        <v>56</v>
      </c>
      <c r="D29" s="7">
        <f t="shared" si="3"/>
        <v>0</v>
      </c>
      <c r="E29" s="7">
        <f t="shared" si="4"/>
        <v>49</v>
      </c>
    </row>
    <row r="30" spans="2:5" x14ac:dyDescent="0.25">
      <c r="B30" s="2" t="s">
        <v>24</v>
      </c>
      <c r="C30" s="7">
        <f t="shared" si="2"/>
        <v>1</v>
      </c>
      <c r="D30" s="7">
        <f t="shared" si="3"/>
        <v>0</v>
      </c>
      <c r="E30" s="7">
        <f t="shared" si="4"/>
        <v>0</v>
      </c>
    </row>
    <row r="31" spans="2:5" x14ac:dyDescent="0.25">
      <c r="C31" s="1" t="str">
        <f ca="1">_xlfn.FORMULATEXT(C26)</f>
        <v>=SOMASES($F$3:$F$15;$E$3:$E$15;$B$25;$C$3:$C$15;B26)</v>
      </c>
    </row>
    <row r="32" spans="2:5" x14ac:dyDescent="0.25">
      <c r="D32" s="1" t="str">
        <f ca="1">_xlfn.FORMULATEXT(D26)</f>
        <v>=SOMASES($F$3:$F$15;$E$3:$E$15;$D$25;$C$3:$C$15;B26)</v>
      </c>
    </row>
  </sheetData>
  <mergeCells count="3">
    <mergeCell ref="B20:C20"/>
    <mergeCell ref="B25:C25"/>
    <mergeCell ref="A1:I1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7C1F-60D7-41DD-A1EC-C6194AB8E91C}">
  <dimension ref="A1:F4"/>
  <sheetViews>
    <sheetView zoomScale="280" zoomScaleNormal="280" workbookViewId="0">
      <selection activeCell="A5" sqref="A5"/>
    </sheetView>
  </sheetViews>
  <sheetFormatPr defaultRowHeight="15" x14ac:dyDescent="0.25"/>
  <cols>
    <col min="1" max="16384" width="9.140625" style="1"/>
  </cols>
  <sheetData>
    <row r="1" spans="1:6" x14ac:dyDescent="0.25">
      <c r="A1" s="14" t="s">
        <v>43</v>
      </c>
      <c r="B1" s="14"/>
      <c r="C1" s="14"/>
      <c r="D1" s="14"/>
      <c r="E1" s="14"/>
      <c r="F1" s="14"/>
    </row>
    <row r="2" spans="1:6" x14ac:dyDescent="0.25">
      <c r="A2" s="3" t="s">
        <v>44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 x14ac:dyDescent="0.25">
      <c r="A3" s="2">
        <f ca="1">RANDBETWEEN(1,60)</f>
        <v>20</v>
      </c>
      <c r="B3" s="2">
        <f t="shared" ref="B3:F3" ca="1" si="0">RANDBETWEEN(1,60)</f>
        <v>4</v>
      </c>
      <c r="C3" s="2">
        <f t="shared" ca="1" si="0"/>
        <v>24</v>
      </c>
      <c r="D3" s="2">
        <f t="shared" ca="1" si="0"/>
        <v>10</v>
      </c>
      <c r="E3" s="2">
        <f t="shared" ca="1" si="0"/>
        <v>49</v>
      </c>
      <c r="F3" s="2">
        <f t="shared" ca="1" si="0"/>
        <v>51</v>
      </c>
    </row>
    <row r="4" spans="1:6" x14ac:dyDescent="0.25">
      <c r="A4" s="1" t="str">
        <f ca="1">_xlfn.FORMULATEXT(A3)</f>
        <v>=ALEATÓRIOENTRE(1;60)</v>
      </c>
    </row>
  </sheetData>
  <mergeCells count="1">
    <mergeCell ref="A1:F1"/>
  </mergeCells>
  <phoneticPr fontId="5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FAFD-3023-4BF7-BB7B-495FD815BE43}">
  <dimension ref="A1:F6"/>
  <sheetViews>
    <sheetView zoomScale="250" zoomScaleNormal="250" workbookViewId="0">
      <selection activeCell="F2" sqref="F2"/>
    </sheetView>
  </sheetViews>
  <sheetFormatPr defaultRowHeight="15" x14ac:dyDescent="0.25"/>
  <cols>
    <col min="2" max="2" width="15.5703125" bestFit="1" customWidth="1"/>
    <col min="5" max="5" width="13.42578125" bestFit="1" customWidth="1"/>
  </cols>
  <sheetData>
    <row r="1" spans="1:6" x14ac:dyDescent="0.25">
      <c r="A1" s="3" t="s">
        <v>1</v>
      </c>
      <c r="B1" s="3" t="s">
        <v>2</v>
      </c>
      <c r="C1" s="3" t="s">
        <v>5</v>
      </c>
      <c r="D1" s="3" t="s">
        <v>6</v>
      </c>
      <c r="E1" s="3" t="s">
        <v>50</v>
      </c>
      <c r="F1" s="3" t="s">
        <v>51</v>
      </c>
    </row>
    <row r="2" spans="1:6" x14ac:dyDescent="0.25">
      <c r="A2" s="2">
        <v>1</v>
      </c>
      <c r="B2" s="2" t="s">
        <v>52</v>
      </c>
      <c r="C2" s="2" t="s">
        <v>57</v>
      </c>
      <c r="D2" s="2">
        <v>11</v>
      </c>
      <c r="E2" s="4">
        <v>89.9</v>
      </c>
      <c r="F2" s="2"/>
    </row>
    <row r="3" spans="1:6" x14ac:dyDescent="0.25">
      <c r="A3" s="2">
        <v>2</v>
      </c>
      <c r="B3" s="2" t="s">
        <v>53</v>
      </c>
      <c r="C3" s="2" t="s">
        <v>58</v>
      </c>
      <c r="D3" s="2">
        <v>1</v>
      </c>
      <c r="E3" s="4">
        <v>899</v>
      </c>
      <c r="F3" s="2"/>
    </row>
    <row r="4" spans="1:6" x14ac:dyDescent="0.25">
      <c r="A4" s="2">
        <v>3</v>
      </c>
      <c r="B4" s="2" t="s">
        <v>54</v>
      </c>
      <c r="C4" s="2" t="s">
        <v>59</v>
      </c>
      <c r="D4" s="2">
        <v>13</v>
      </c>
      <c r="E4" s="4">
        <v>320</v>
      </c>
      <c r="F4" s="2"/>
    </row>
    <row r="5" spans="1:6" x14ac:dyDescent="0.25">
      <c r="A5" s="2">
        <v>4</v>
      </c>
      <c r="B5" s="2" t="s">
        <v>55</v>
      </c>
      <c r="C5" s="2" t="s">
        <v>60</v>
      </c>
      <c r="D5" s="2">
        <v>9</v>
      </c>
      <c r="E5" s="4">
        <v>299</v>
      </c>
      <c r="F5" s="2"/>
    </row>
    <row r="6" spans="1:6" x14ac:dyDescent="0.25">
      <c r="A6" s="2">
        <v>5</v>
      </c>
      <c r="B6" s="2" t="s">
        <v>56</v>
      </c>
      <c r="C6" s="2" t="s">
        <v>58</v>
      </c>
      <c r="D6" s="2">
        <v>6</v>
      </c>
      <c r="E6" s="4">
        <v>45</v>
      </c>
      <c r="F6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90DF-6418-496F-98F7-27EA416C43B4}">
  <dimension ref="A1:D14"/>
  <sheetViews>
    <sheetView showGridLines="0" topLeftCell="A7" zoomScale="220" zoomScaleNormal="220" workbookViewId="0">
      <selection activeCell="C15" sqref="C15"/>
    </sheetView>
  </sheetViews>
  <sheetFormatPr defaultRowHeight="15" x14ac:dyDescent="0.25"/>
  <cols>
    <col min="2" max="2" width="11" customWidth="1"/>
    <col min="3" max="3" width="12.140625" bestFit="1" customWidth="1"/>
  </cols>
  <sheetData>
    <row r="1" spans="1:4" x14ac:dyDescent="0.25">
      <c r="A1" s="3" t="s">
        <v>61</v>
      </c>
      <c r="B1" s="3" t="s">
        <v>2</v>
      </c>
      <c r="C1" s="3" t="s">
        <v>62</v>
      </c>
    </row>
    <row r="2" spans="1:4" x14ac:dyDescent="0.25">
      <c r="A2" s="2" t="s">
        <v>63</v>
      </c>
      <c r="B2" s="2" t="s">
        <v>66</v>
      </c>
      <c r="C2" s="12">
        <v>5</v>
      </c>
    </row>
    <row r="3" spans="1:4" x14ac:dyDescent="0.25">
      <c r="A3" s="2" t="s">
        <v>64</v>
      </c>
      <c r="B3" s="2" t="s">
        <v>67</v>
      </c>
      <c r="C3" s="12">
        <v>1000</v>
      </c>
    </row>
    <row r="4" spans="1:4" x14ac:dyDescent="0.25">
      <c r="A4" s="2" t="s">
        <v>63</v>
      </c>
      <c r="B4" s="2" t="s">
        <v>67</v>
      </c>
      <c r="C4" s="12">
        <v>1500</v>
      </c>
    </row>
    <row r="5" spans="1:4" x14ac:dyDescent="0.25">
      <c r="A5" s="2" t="s">
        <v>64</v>
      </c>
      <c r="B5" s="2" t="s">
        <v>66</v>
      </c>
      <c r="C5" s="12">
        <v>200</v>
      </c>
    </row>
    <row r="6" spans="1:4" x14ac:dyDescent="0.25">
      <c r="A6" s="2" t="s">
        <v>65</v>
      </c>
      <c r="B6" s="2" t="s">
        <v>67</v>
      </c>
      <c r="C6" s="12">
        <v>800</v>
      </c>
    </row>
    <row r="7" spans="1:4" x14ac:dyDescent="0.25">
      <c r="A7" s="2" t="s">
        <v>63</v>
      </c>
      <c r="B7" s="2" t="s">
        <v>66</v>
      </c>
      <c r="C7" s="12">
        <v>300</v>
      </c>
    </row>
    <row r="8" spans="1:4" x14ac:dyDescent="0.25">
      <c r="A8" s="2" t="s">
        <v>64</v>
      </c>
      <c r="B8" s="2" t="s">
        <v>68</v>
      </c>
      <c r="C8" s="12">
        <v>700</v>
      </c>
    </row>
    <row r="9" spans="1:4" x14ac:dyDescent="0.25">
      <c r="A9" s="2" t="s">
        <v>65</v>
      </c>
      <c r="B9" s="2" t="s">
        <v>66</v>
      </c>
      <c r="C9" s="12">
        <v>1200</v>
      </c>
    </row>
    <row r="10" spans="1:4" x14ac:dyDescent="0.25">
      <c r="A10" s="2" t="s">
        <v>63</v>
      </c>
      <c r="B10" s="2" t="s">
        <v>67</v>
      </c>
      <c r="C10" s="12">
        <v>900</v>
      </c>
    </row>
    <row r="11" spans="1:4" x14ac:dyDescent="0.25">
      <c r="A11" s="2" t="s">
        <v>64</v>
      </c>
      <c r="B11" s="2" t="s">
        <v>67</v>
      </c>
      <c r="C11" s="12">
        <v>600</v>
      </c>
    </row>
    <row r="13" spans="1:4" x14ac:dyDescent="0.25">
      <c r="B13" s="15" t="s">
        <v>69</v>
      </c>
      <c r="C13" s="16">
        <f>SUM(C2:C11)</f>
        <v>7205</v>
      </c>
      <c r="D13" t="str">
        <f ca="1">_xlfn.FORMULATEXT(C13)</f>
        <v>=SOMA(C2:C11)</v>
      </c>
    </row>
    <row r="14" spans="1:4" x14ac:dyDescent="0.25">
      <c r="B14" s="15" t="s">
        <v>70</v>
      </c>
      <c r="C14" s="17">
        <f>SUBTOTAL(9,C2:C11)</f>
        <v>7205</v>
      </c>
      <c r="D14" t="str">
        <f ca="1">_xlfn.FORMULATEXT(C14)</f>
        <v>=SUBTOTAL(9;C2:C11)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75B5-269A-4AB3-92A9-2B979F96A329}">
  <dimension ref="A1:E7"/>
  <sheetViews>
    <sheetView showGridLines="0" tabSelected="1" zoomScale="230" zoomScaleNormal="230" workbookViewId="0">
      <selection activeCell="I3" sqref="I3"/>
    </sheetView>
  </sheetViews>
  <sheetFormatPr defaultRowHeight="15" x14ac:dyDescent="0.25"/>
  <cols>
    <col min="1" max="1" width="15.140625" customWidth="1"/>
    <col min="2" max="2" width="12.85546875" bestFit="1" customWidth="1"/>
    <col min="3" max="4" width="15.28515625" customWidth="1"/>
  </cols>
  <sheetData>
    <row r="1" spans="1:5" ht="28.5" customHeight="1" x14ac:dyDescent="0.25">
      <c r="A1" s="18" t="s">
        <v>71</v>
      </c>
      <c r="B1" s="18" t="s">
        <v>73</v>
      </c>
      <c r="C1" s="19" t="s">
        <v>72</v>
      </c>
      <c r="D1" s="19" t="s">
        <v>74</v>
      </c>
    </row>
    <row r="2" spans="1:5" x14ac:dyDescent="0.25">
      <c r="A2" s="3" t="s">
        <v>75</v>
      </c>
      <c r="B2" s="20">
        <v>28.74</v>
      </c>
      <c r="C2" s="21">
        <f>ROUNDUP(B2,0)</f>
        <v>29</v>
      </c>
      <c r="D2" s="21">
        <f>ROUNDDOWN(B2,0)</f>
        <v>28</v>
      </c>
      <c r="E2" t="str">
        <f ca="1">_xlfn.FORMULATEXT(D2)</f>
        <v>=ARREDONDAR.PARA.BAIXO(B2;0)</v>
      </c>
    </row>
    <row r="3" spans="1:5" x14ac:dyDescent="0.25">
      <c r="A3" s="3" t="s">
        <v>76</v>
      </c>
      <c r="B3" s="20">
        <v>42.15</v>
      </c>
      <c r="C3" s="21">
        <f t="shared" ref="C3:C6" si="0">ROUNDUP(B3,0)</f>
        <v>43</v>
      </c>
      <c r="D3" s="21">
        <f t="shared" ref="D3:D6" si="1">ROUNDDOWN(B3,0)</f>
        <v>42</v>
      </c>
    </row>
    <row r="4" spans="1:5" x14ac:dyDescent="0.25">
      <c r="A4" s="3" t="s">
        <v>77</v>
      </c>
      <c r="B4" s="20">
        <v>9.99</v>
      </c>
      <c r="C4" s="21">
        <f t="shared" si="0"/>
        <v>10</v>
      </c>
      <c r="D4" s="21">
        <f t="shared" si="1"/>
        <v>9</v>
      </c>
    </row>
    <row r="5" spans="1:5" x14ac:dyDescent="0.25">
      <c r="A5" s="3" t="s">
        <v>78</v>
      </c>
      <c r="B5" s="20">
        <v>2.35</v>
      </c>
      <c r="C5" s="21">
        <f t="shared" si="0"/>
        <v>3</v>
      </c>
      <c r="D5" s="21">
        <f t="shared" si="1"/>
        <v>2</v>
      </c>
    </row>
    <row r="6" spans="1:5" x14ac:dyDescent="0.25">
      <c r="A6" s="3" t="s">
        <v>79</v>
      </c>
      <c r="B6" s="20">
        <v>7.82</v>
      </c>
      <c r="C6" s="21">
        <f t="shared" si="0"/>
        <v>8</v>
      </c>
      <c r="D6" s="21">
        <f t="shared" si="1"/>
        <v>7</v>
      </c>
    </row>
    <row r="7" spans="1:5" x14ac:dyDescent="0.25">
      <c r="A7" s="22"/>
      <c r="B7" s="22"/>
      <c r="C7" s="23" t="str">
        <f ca="1">_xlfn.FORMULATEXT(C2)</f>
        <v>=ARREDONDAR.PARA.CIMA(B2;0)</v>
      </c>
      <c r="D7" s="22"/>
      <c r="E7" s="22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9e6ecd5-0829-4404-918c-86024e7a598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9C29282D40039478C81EA9A0D635400" ma:contentTypeVersion="14" ma:contentTypeDescription="Crie um novo documento." ma:contentTypeScope="" ma:versionID="aec60354b10fc9264384ee49319b34bd">
  <xsd:schema xmlns:xsd="http://www.w3.org/2001/XMLSchema" xmlns:xs="http://www.w3.org/2001/XMLSchema" xmlns:p="http://schemas.microsoft.com/office/2006/metadata/properties" xmlns:ns3="49e6ecd5-0829-4404-918c-86024e7a5987" targetNamespace="http://schemas.microsoft.com/office/2006/metadata/properties" ma:root="true" ma:fieldsID="0e79b0216a1cece4e293c6118c8ab971" ns3:_="">
    <xsd:import namespace="49e6ecd5-0829-4404-918c-86024e7a598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OCR" minOccurs="0"/>
                <xsd:element ref="ns3:MediaServiceSearchProperties" minOccurs="0"/>
                <xsd:element ref="ns3:MediaServiceSystemTag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6ecd5-0829-4404-918c-86024e7a59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9BBFC6-FA17-4149-A3F5-27883D071C33}">
  <ds:schemaRefs>
    <ds:schemaRef ds:uri="http://schemas.openxmlformats.org/package/2006/metadata/core-properties"/>
    <ds:schemaRef ds:uri="http://purl.org/dc/elements/1.1/"/>
    <ds:schemaRef ds:uri="49e6ecd5-0829-4404-918c-86024e7a5987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00D8D68-7F0A-413D-B68C-B02C1F0C9A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6ABAC9-35BC-4BAD-8CFE-6237F5D794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6ecd5-0829-4404-918c-86024e7a59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de Estoque</vt:lpstr>
      <vt:lpstr>Jogos da Sorte</vt:lpstr>
      <vt:lpstr>Produtos</vt:lpstr>
      <vt:lpstr>Região e Vendas</vt:lpstr>
      <vt:lpstr>Produtos 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DAVID PEREIRA</dc:creator>
  <cp:lastModifiedBy>EDSON DAVID PEREIRA</cp:lastModifiedBy>
  <cp:lastPrinted>2026-05-14T16:04:53Z</cp:lastPrinted>
  <dcterms:created xsi:type="dcterms:W3CDTF">2026-05-12T17:57:39Z</dcterms:created>
  <dcterms:modified xsi:type="dcterms:W3CDTF">2026-05-14T18:08:05Z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0x01010079C29282D40039478C81EA9A0D635400</vt:lpwstr>
  </property>
</Properties>
</file>