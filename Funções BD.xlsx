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edson.dpereira\Documents\Excel Básico ao Avançado 2026\"/>
    </mc:Choice>
  </mc:AlternateContent>
  <xr:revisionPtr revIDLastSave="0" documentId="13_ncr:1_{253C98DA-8EE0-48A8-B04A-89D438EB114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Vendas - Funções BD" sheetId="1" r:id="rId1"/>
  </sheets>
  <definedNames>
    <definedName name="Banco">'Vendas - Funções BD'!$A$1:$H$102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3" i="1" l="1"/>
  <c r="D114" i="1"/>
  <c r="D112" i="1"/>
  <c r="E117" i="1"/>
  <c r="E116" i="1"/>
  <c r="E112" i="1"/>
  <c r="E113" i="1"/>
  <c r="E114" i="1"/>
  <c r="D117" i="1"/>
  <c r="D116" i="1"/>
  <c r="D111" i="1"/>
  <c r="E111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</calcChain>
</file>

<file path=xl/sharedStrings.xml><?xml version="1.0" encoding="utf-8"?>
<sst xmlns="http://schemas.openxmlformats.org/spreadsheetml/2006/main" count="433" uniqueCount="142">
  <si>
    <t>Vendedor</t>
  </si>
  <si>
    <t>Região</t>
  </si>
  <si>
    <t>Produto</t>
  </si>
  <si>
    <t>Data</t>
  </si>
  <si>
    <t>Quantidade</t>
  </si>
  <si>
    <t>Preço Unitário</t>
  </si>
  <si>
    <t>Total</t>
  </si>
  <si>
    <t>João Silva</t>
  </si>
  <si>
    <t>Sul</t>
  </si>
  <si>
    <t>Notebook</t>
  </si>
  <si>
    <t>Maria Santos</t>
  </si>
  <si>
    <t>Norte</t>
  </si>
  <si>
    <t>Monitor</t>
  </si>
  <si>
    <t>Pedro Oliveira</t>
  </si>
  <si>
    <t>Leste</t>
  </si>
  <si>
    <t>Teclado</t>
  </si>
  <si>
    <t>Ana Costa</t>
  </si>
  <si>
    <t>Oeste</t>
  </si>
  <si>
    <t>Mouse</t>
  </si>
  <si>
    <t>Carlos Souza</t>
  </si>
  <si>
    <t>Beatriz Lima</t>
  </si>
  <si>
    <t>Cadeira</t>
  </si>
  <si>
    <t>Mesa</t>
  </si>
  <si>
    <t>Área de Critério</t>
  </si>
  <si>
    <t>Resultados das Funções BD</t>
  </si>
  <si>
    <t>Função</t>
  </si>
  <si>
    <t>BDSOMA</t>
  </si>
  <si>
    <t>BDMÉDIA</t>
  </si>
  <si>
    <t>BDMÁX</t>
  </si>
  <si>
    <t>BDMÍN</t>
  </si>
  <si>
    <t>BDEXTRAIR</t>
  </si>
  <si>
    <t>BDCONTAR</t>
  </si>
  <si>
    <t>Contar vendas com valores numéricos</t>
  </si>
  <si>
    <t>BDCONTARA</t>
  </si>
  <si>
    <t>Contar todas as linhas de venda</t>
  </si>
  <si>
    <t>Jurandir</t>
  </si>
  <si>
    <t>Cálculo - Por Vendedor, Região e Produto</t>
  </si>
  <si>
    <t>Soma do Total</t>
  </si>
  <si>
    <t>Média de Quantidade</t>
  </si>
  <si>
    <t>Preço Máximo vendido</t>
  </si>
  <si>
    <t xml:space="preserve">Preço Mínimo vendido </t>
  </si>
  <si>
    <t>Extrair Informação da venda (se única)</t>
  </si>
  <si>
    <t>Caneta Óptica</t>
  </si>
  <si>
    <t>CPF</t>
  </si>
  <si>
    <t>340.935.237-34</t>
  </si>
  <si>
    <t>628.844.105-80</t>
  </si>
  <si>
    <t>824.262.367-93</t>
  </si>
  <si>
    <t>788.516.293-89</t>
  </si>
  <si>
    <t>660.788.114-37</t>
  </si>
  <si>
    <t>528.748.567-93</t>
  </si>
  <si>
    <t>267.373.772-79</t>
  </si>
  <si>
    <t>475.776.622-67</t>
  </si>
  <si>
    <t>798.978.275-46</t>
  </si>
  <si>
    <t>571.758.644-26</t>
  </si>
  <si>
    <t>700.172.945-66</t>
  </si>
  <si>
    <t>700.172.945-67</t>
  </si>
  <si>
    <t>700.172.945-68</t>
  </si>
  <si>
    <t>700.172.945-69</t>
  </si>
  <si>
    <t>700.172.945-70</t>
  </si>
  <si>
    <t>700.172.945-71</t>
  </si>
  <si>
    <t>700.172.945-72</t>
  </si>
  <si>
    <t>700.172.945-73</t>
  </si>
  <si>
    <t>700.172.945-74</t>
  </si>
  <si>
    <t>700.172.945-75</t>
  </si>
  <si>
    <t>700.172.945-76</t>
  </si>
  <si>
    <t>700.172.945-77</t>
  </si>
  <si>
    <t>700.172.945-78</t>
  </si>
  <si>
    <t>700.172.945-79</t>
  </si>
  <si>
    <t>700.172.945-80</t>
  </si>
  <si>
    <t>700.172.945-81</t>
  </si>
  <si>
    <t>700.172.945-82</t>
  </si>
  <si>
    <t>700.172.945-83</t>
  </si>
  <si>
    <t>700.172.945-84</t>
  </si>
  <si>
    <t>700.172.945-85</t>
  </si>
  <si>
    <t>700.172.945-86</t>
  </si>
  <si>
    <t>700.172.945-87</t>
  </si>
  <si>
    <t>700.172.945-88</t>
  </si>
  <si>
    <t>700.172.945-89</t>
  </si>
  <si>
    <t>700.172.945-90</t>
  </si>
  <si>
    <t>528.748.567-94</t>
  </si>
  <si>
    <t>528.748.567-95</t>
  </si>
  <si>
    <t>528.748.567-96</t>
  </si>
  <si>
    <t>528.748.567-97</t>
  </si>
  <si>
    <t>528.748.567-98</t>
  </si>
  <si>
    <t>528.748.567-99</t>
  </si>
  <si>
    <t>628.844.105-81</t>
  </si>
  <si>
    <t>628.844.105-82</t>
  </si>
  <si>
    <t>628.844.105-83</t>
  </si>
  <si>
    <t>628.844.105-84</t>
  </si>
  <si>
    <t>628.844.105-85</t>
  </si>
  <si>
    <t>628.844.105-86</t>
  </si>
  <si>
    <t>628.844.105-87</t>
  </si>
  <si>
    <t>628.844.105-88</t>
  </si>
  <si>
    <t>628.844.105-89</t>
  </si>
  <si>
    <t>628.844.105-90</t>
  </si>
  <si>
    <t>340.935.237-35</t>
  </si>
  <si>
    <t>340.935.237-36</t>
  </si>
  <si>
    <t>340.935.237-37</t>
  </si>
  <si>
    <t>340.935.237-38</t>
  </si>
  <si>
    <t>340.935.237-39</t>
  </si>
  <si>
    <t>340.935.237-40</t>
  </si>
  <si>
    <t>340.935.237-41</t>
  </si>
  <si>
    <t>340.935.237-42</t>
  </si>
  <si>
    <t>340.935.237-43</t>
  </si>
  <si>
    <t>340.935.237-44</t>
  </si>
  <si>
    <t>340.935.237-45</t>
  </si>
  <si>
    <t>340.935.237-46</t>
  </si>
  <si>
    <t>350.935.237-46</t>
  </si>
  <si>
    <t>350.935.237-47</t>
  </si>
  <si>
    <t>350.935.237-48</t>
  </si>
  <si>
    <t>350.935.237-49</t>
  </si>
  <si>
    <t>350.935.237-50</t>
  </si>
  <si>
    <t>350.935.237-51</t>
  </si>
  <si>
    <t>350.935.237-52</t>
  </si>
  <si>
    <t>350.935.237-53</t>
  </si>
  <si>
    <t>350.935.237-54</t>
  </si>
  <si>
    <t>350.935.237-55</t>
  </si>
  <si>
    <t>350.935.237-56</t>
  </si>
  <si>
    <t>350.935.237-57</t>
  </si>
  <si>
    <t>350.935.237-58</t>
  </si>
  <si>
    <t>350.935.237-59</t>
  </si>
  <si>
    <t>410.935.237-51</t>
  </si>
  <si>
    <t>410.935.237-52</t>
  </si>
  <si>
    <t>410.935.237-53</t>
  </si>
  <si>
    <t>410.935.237-54</t>
  </si>
  <si>
    <t>410.935.237-55</t>
  </si>
  <si>
    <t>410.935.237-56</t>
  </si>
  <si>
    <t>410.935.237-57</t>
  </si>
  <si>
    <t>410.935.237-58</t>
  </si>
  <si>
    <t>410.935.237-59</t>
  </si>
  <si>
    <t>410.935.237-60</t>
  </si>
  <si>
    <t>410.935.237-61</t>
  </si>
  <si>
    <t>410.935.237-62</t>
  </si>
  <si>
    <t>410.935.237-63</t>
  </si>
  <si>
    <t>410.935.237-64</t>
  </si>
  <si>
    <t>410.935.237-65</t>
  </si>
  <si>
    <t>410.935.237-66</t>
  </si>
  <si>
    <t>410.935.237-67</t>
  </si>
  <si>
    <t>410.935.237-68</t>
  </si>
  <si>
    <t>410.935.237-69</t>
  </si>
  <si>
    <t>410.935.237-70</t>
  </si>
  <si>
    <t>410.935.237-71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</si>
</sst>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0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1"/>
      <color theme="0"/>
      <name val="Arial"/>
      <family val="2"/>
      <scheme val="minor"/>
    </font>
    <font>
      <b/>
      <sz val="11"/>
      <color theme="1"/>
      <name val="Arial"/>
      <family val="2"/>
      <scheme val="minor"/>
    </font>
    <font>
      <sz val="11"/>
      <color theme="0"/>
      <name val="Arial"/>
      <family val="2"/>
      <scheme val="minor"/>
    </font>
    <font>
      <sz val="8"/>
      <name val="Arial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9">
    <xf numFmtId="0" fontId="0" fillId="0" borderId="0"/>
    <xf numFmtId="43" fontId="3" fillId="0" borderId="0" applyFont="0" applyFill="0" applyBorder="0" applyAlignment="0" applyProtection="0"/>
    <xf numFmtId="0" fontId="8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8" fillId="5" borderId="0" applyNumberFormat="0" applyBorder="0" applyAlignment="0" applyProtection="0"/>
    <xf numFmtId="0" fontId="8" fillId="6" borderId="0" applyNumberFormat="0" applyBorder="0" applyAlignment="0" applyProtection="0"/>
    <xf numFmtId="0" fontId="8" fillId="7" borderId="0" applyNumberFormat="0" applyBorder="0" applyAlignment="0" applyProtection="0"/>
    <xf numFmtId="0" fontId="8" fillId="8" borderId="0" applyNumberFormat="0" applyBorder="0" applyAlignment="0" applyProtection="0"/>
  </cellStyleXfs>
  <cellXfs count="20">
    <xf numFmtId="0" fontId="0" fillId="0" borderId="0" xfId="0"/>
    <xf numFmtId="0" fontId="2" fillId="0" borderId="1" xfId="0" applyFont="1" applyBorder="1"/>
    <xf numFmtId="0" fontId="4" fillId="0" borderId="1" xfId="0" applyFont="1" applyBorder="1"/>
    <xf numFmtId="43" fontId="2" fillId="0" borderId="1" xfId="1" applyFont="1" applyBorder="1"/>
    <xf numFmtId="0" fontId="0" fillId="0" borderId="1" xfId="0" applyBorder="1"/>
    <xf numFmtId="0" fontId="5" fillId="0" borderId="1" xfId="0" applyFont="1" applyBorder="1"/>
    <xf numFmtId="14" fontId="2" fillId="0" borderId="1" xfId="0" applyNumberFormat="1" applyFont="1" applyBorder="1"/>
    <xf numFmtId="0" fontId="7" fillId="3" borderId="1" xfId="3" applyFont="1" applyBorder="1"/>
    <xf numFmtId="164" fontId="2" fillId="0" borderId="1" xfId="1" applyNumberFormat="1" applyFont="1" applyBorder="1"/>
    <xf numFmtId="0" fontId="8" fillId="8" borderId="1" xfId="8" applyBorder="1"/>
    <xf numFmtId="0" fontId="8" fillId="7" borderId="1" xfId="7" applyBorder="1"/>
    <xf numFmtId="0" fontId="8" fillId="6" borderId="1" xfId="6" applyBorder="1"/>
    <xf numFmtId="0" fontId="8" fillId="5" borderId="1" xfId="5" applyBorder="1"/>
    <xf numFmtId="0" fontId="6" fillId="2" borderId="1" xfId="2" applyFont="1" applyBorder="1" applyAlignment="1">
      <alignment horizontal="center"/>
    </xf>
    <xf numFmtId="0" fontId="7" fillId="3" borderId="2" xfId="3" applyFont="1" applyBorder="1" applyAlignment="1">
      <alignment horizontal="center"/>
    </xf>
    <xf numFmtId="0" fontId="7" fillId="3" borderId="3" xfId="3" applyFont="1" applyBorder="1" applyAlignment="1">
      <alignment horizontal="center"/>
    </xf>
    <xf numFmtId="0" fontId="7" fillId="3" borderId="4" xfId="3" applyFont="1" applyBorder="1" applyAlignment="1">
      <alignment horizontal="center"/>
    </xf>
    <xf numFmtId="0" fontId="7" fillId="4" borderId="5" xfId="4" applyFont="1" applyBorder="1" applyAlignment="1">
      <alignment horizontal="center"/>
    </xf>
    <xf numFmtId="0" fontId="7" fillId="4" borderId="1" xfId="4" applyFont="1" applyBorder="1" applyAlignment="1">
      <alignment horizontal="center"/>
    </xf>
    <xf numFmtId="0" fontId="2" fillId="0" borderId="1" xfId="0" applyFont="1" applyBorder="1" applyAlignment="1">
      <alignment horizontal="left"/>
    </xf>
  </cellXfs>
  <cellStyles count="9">
    <cellStyle name="40% - Ênfase1" xfId="3" builtinId="31"/>
    <cellStyle name="60% - Ênfase1" xfId="4" builtinId="32"/>
    <cellStyle name="Ênfase1" xfId="2" builtinId="29"/>
    <cellStyle name="Ênfase3" xfId="5" builtinId="37"/>
    <cellStyle name="Ênfase4" xfId="6" builtinId="41"/>
    <cellStyle name="Ênfase5" xfId="7" builtinId="45"/>
    <cellStyle name="Ênfase6" xfId="8" builtinId="49"/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H117"/>
  <sheetViews>
    <sheetView showGridLines="0" tabSelected="1" topLeftCell="A105" zoomScale="230" zoomScaleNormal="230" workbookViewId="0">
      <selection activeCell="D116" sqref="D116"/>
    </sheetView>
  </sheetViews>
  <sheetFormatPr defaultColWidth="12.7109375" defaultRowHeight="15.75" customHeight="1" x14ac:dyDescent="0.2"/>
  <cols>
    <col min="2" max="2" width="15.140625" customWidth="1"/>
    <col min="3" max="3" width="18.140625" customWidth="1"/>
    <col min="4" max="4" width="15.28515625" customWidth="1"/>
    <col min="6" max="6" width="14.85546875" bestFit="1" customWidth="1"/>
    <col min="7" max="7" width="15.7109375" bestFit="1" customWidth="1"/>
  </cols>
  <sheetData>
    <row r="1" spans="1:8" ht="15" x14ac:dyDescent="0.25">
      <c r="A1" s="13" t="s">
        <v>0</v>
      </c>
      <c r="B1" s="13" t="s">
        <v>43</v>
      </c>
      <c r="C1" s="13" t="s">
        <v>1</v>
      </c>
      <c r="D1" s="13" t="s">
        <v>2</v>
      </c>
      <c r="E1" s="13" t="s">
        <v>3</v>
      </c>
      <c r="F1" s="13" t="s">
        <v>4</v>
      </c>
      <c r="G1" s="13" t="s">
        <v>5</v>
      </c>
      <c r="H1" s="13" t="s">
        <v>6</v>
      </c>
    </row>
    <row r="2" spans="1:8" ht="15.75" customHeight="1" x14ac:dyDescent="0.2">
      <c r="A2" s="1" t="s">
        <v>13</v>
      </c>
      <c r="B2" s="4" t="s">
        <v>44</v>
      </c>
      <c r="C2" s="9" t="s">
        <v>14</v>
      </c>
      <c r="D2" s="1" t="s">
        <v>15</v>
      </c>
      <c r="E2" s="6">
        <v>46029</v>
      </c>
      <c r="F2" s="1">
        <v>10</v>
      </c>
      <c r="G2" s="3">
        <v>150</v>
      </c>
      <c r="H2" s="3">
        <f>F2*G2</f>
        <v>1500</v>
      </c>
    </row>
    <row r="3" spans="1:8" ht="15.75" customHeight="1" x14ac:dyDescent="0.2">
      <c r="A3" s="1" t="s">
        <v>7</v>
      </c>
      <c r="B3" s="4" t="s">
        <v>45</v>
      </c>
      <c r="C3" s="9" t="s">
        <v>14</v>
      </c>
      <c r="D3" s="1" t="s">
        <v>21</v>
      </c>
      <c r="E3" s="6">
        <v>46033</v>
      </c>
      <c r="F3" s="1">
        <v>4</v>
      </c>
      <c r="G3" s="3">
        <v>800</v>
      </c>
      <c r="H3" s="3">
        <f t="shared" ref="H3:H66" si="0">F3*G3</f>
        <v>3200</v>
      </c>
    </row>
    <row r="4" spans="1:8" ht="15.75" customHeight="1" x14ac:dyDescent="0.2">
      <c r="A4" s="1" t="s">
        <v>19</v>
      </c>
      <c r="B4" s="4" t="s">
        <v>46</v>
      </c>
      <c r="C4" s="9" t="s">
        <v>14</v>
      </c>
      <c r="D4" s="1" t="s">
        <v>15</v>
      </c>
      <c r="E4" s="6">
        <v>46037</v>
      </c>
      <c r="F4" s="1">
        <v>8</v>
      </c>
      <c r="G4" s="3">
        <v>150</v>
      </c>
      <c r="H4" s="3">
        <f t="shared" si="0"/>
        <v>1200</v>
      </c>
    </row>
    <row r="5" spans="1:8" ht="15.75" customHeight="1" x14ac:dyDescent="0.2">
      <c r="A5" s="1" t="s">
        <v>13</v>
      </c>
      <c r="B5" s="4" t="s">
        <v>47</v>
      </c>
      <c r="C5" s="9" t="s">
        <v>14</v>
      </c>
      <c r="D5" s="1" t="s">
        <v>12</v>
      </c>
      <c r="E5" s="6">
        <v>46041</v>
      </c>
      <c r="F5" s="1">
        <v>3</v>
      </c>
      <c r="G5" s="3">
        <v>1200</v>
      </c>
      <c r="H5" s="3">
        <f t="shared" si="0"/>
        <v>3600</v>
      </c>
    </row>
    <row r="6" spans="1:8" ht="15.75" customHeight="1" x14ac:dyDescent="0.2">
      <c r="A6" s="1" t="s">
        <v>7</v>
      </c>
      <c r="B6" s="4" t="s">
        <v>48</v>
      </c>
      <c r="C6" s="9" t="s">
        <v>14</v>
      </c>
      <c r="D6" s="1" t="s">
        <v>9</v>
      </c>
      <c r="E6" s="6">
        <v>46045</v>
      </c>
      <c r="F6" s="1">
        <v>1</v>
      </c>
      <c r="G6" s="3">
        <v>3500</v>
      </c>
      <c r="H6" s="3">
        <f t="shared" si="0"/>
        <v>3500</v>
      </c>
    </row>
    <row r="7" spans="1:8" ht="15.75" customHeight="1" x14ac:dyDescent="0.2">
      <c r="A7" s="1" t="s">
        <v>19</v>
      </c>
      <c r="B7" s="4" t="s">
        <v>49</v>
      </c>
      <c r="C7" s="9" t="s">
        <v>14</v>
      </c>
      <c r="D7" s="1" t="s">
        <v>12</v>
      </c>
      <c r="E7" s="6">
        <v>46049</v>
      </c>
      <c r="F7" s="1">
        <v>2</v>
      </c>
      <c r="G7" s="3">
        <v>1200</v>
      </c>
      <c r="H7" s="3">
        <f t="shared" si="0"/>
        <v>2400</v>
      </c>
    </row>
    <row r="8" spans="1:8" ht="15.75" customHeight="1" x14ac:dyDescent="0.2">
      <c r="A8" s="1" t="s">
        <v>13</v>
      </c>
      <c r="B8" s="4" t="s">
        <v>50</v>
      </c>
      <c r="C8" s="9" t="s">
        <v>14</v>
      </c>
      <c r="D8" s="1" t="s">
        <v>22</v>
      </c>
      <c r="E8" s="6">
        <v>46053</v>
      </c>
      <c r="F8" s="1">
        <v>2</v>
      </c>
      <c r="G8" s="3">
        <v>1500</v>
      </c>
      <c r="H8" s="3">
        <f t="shared" si="0"/>
        <v>3000</v>
      </c>
    </row>
    <row r="9" spans="1:8" ht="15.75" customHeight="1" x14ac:dyDescent="0.2">
      <c r="A9" s="1" t="s">
        <v>7</v>
      </c>
      <c r="B9" s="4" t="s">
        <v>51</v>
      </c>
      <c r="C9" s="9" t="s">
        <v>14</v>
      </c>
      <c r="D9" s="1" t="s">
        <v>18</v>
      </c>
      <c r="E9" s="6">
        <v>46057</v>
      </c>
      <c r="F9" s="1">
        <v>25</v>
      </c>
      <c r="G9" s="3">
        <v>80</v>
      </c>
      <c r="H9" s="3">
        <f t="shared" si="0"/>
        <v>2000</v>
      </c>
    </row>
    <row r="10" spans="1:8" ht="15.75" customHeight="1" x14ac:dyDescent="0.2">
      <c r="A10" s="1" t="s">
        <v>19</v>
      </c>
      <c r="B10" s="4" t="s">
        <v>52</v>
      </c>
      <c r="C10" s="9" t="s">
        <v>14</v>
      </c>
      <c r="D10" s="1" t="s">
        <v>21</v>
      </c>
      <c r="E10" s="6">
        <v>46061</v>
      </c>
      <c r="F10" s="1">
        <v>5</v>
      </c>
      <c r="G10" s="3">
        <v>800</v>
      </c>
      <c r="H10" s="3">
        <f t="shared" si="0"/>
        <v>4000</v>
      </c>
    </row>
    <row r="11" spans="1:8" ht="15.75" customHeight="1" x14ac:dyDescent="0.2">
      <c r="A11" s="1" t="s">
        <v>13</v>
      </c>
      <c r="B11" s="4" t="s">
        <v>53</v>
      </c>
      <c r="C11" s="9" t="s">
        <v>14</v>
      </c>
      <c r="D11" s="1" t="s">
        <v>9</v>
      </c>
      <c r="E11" s="6">
        <v>46065</v>
      </c>
      <c r="F11" s="1">
        <v>1</v>
      </c>
      <c r="G11" s="3">
        <v>3500</v>
      </c>
      <c r="H11" s="3">
        <f t="shared" si="0"/>
        <v>3500</v>
      </c>
    </row>
    <row r="12" spans="1:8" ht="15.75" customHeight="1" x14ac:dyDescent="0.2">
      <c r="A12" s="1" t="s">
        <v>7</v>
      </c>
      <c r="B12" s="4" t="s">
        <v>54</v>
      </c>
      <c r="C12" s="9" t="s">
        <v>14</v>
      </c>
      <c r="D12" s="1" t="s">
        <v>22</v>
      </c>
      <c r="E12" s="6">
        <v>46069</v>
      </c>
      <c r="F12" s="1">
        <v>2</v>
      </c>
      <c r="G12" s="3">
        <v>1500</v>
      </c>
      <c r="H12" s="3">
        <f t="shared" si="0"/>
        <v>3000</v>
      </c>
    </row>
    <row r="13" spans="1:8" ht="15.75" customHeight="1" x14ac:dyDescent="0.2">
      <c r="A13" s="1" t="s">
        <v>19</v>
      </c>
      <c r="B13" s="4" t="s">
        <v>55</v>
      </c>
      <c r="C13" s="9" t="s">
        <v>14</v>
      </c>
      <c r="D13" s="1" t="s">
        <v>12</v>
      </c>
      <c r="E13" s="6">
        <v>46073</v>
      </c>
      <c r="F13" s="1">
        <v>3</v>
      </c>
      <c r="G13" s="3">
        <v>1200</v>
      </c>
      <c r="H13" s="3">
        <f t="shared" si="0"/>
        <v>3600</v>
      </c>
    </row>
    <row r="14" spans="1:8" ht="15.75" customHeight="1" x14ac:dyDescent="0.2">
      <c r="A14" s="1" t="s">
        <v>13</v>
      </c>
      <c r="B14" s="4" t="s">
        <v>56</v>
      </c>
      <c r="C14" s="9" t="s">
        <v>14</v>
      </c>
      <c r="D14" s="1" t="s">
        <v>12</v>
      </c>
      <c r="E14" s="6">
        <v>46077</v>
      </c>
      <c r="F14" s="1">
        <v>2</v>
      </c>
      <c r="G14" s="3">
        <v>1200</v>
      </c>
      <c r="H14" s="3">
        <f t="shared" si="0"/>
        <v>2400</v>
      </c>
    </row>
    <row r="15" spans="1:8" ht="15.75" customHeight="1" x14ac:dyDescent="0.2">
      <c r="A15" s="1" t="s">
        <v>7</v>
      </c>
      <c r="B15" s="4" t="s">
        <v>57</v>
      </c>
      <c r="C15" s="9" t="s">
        <v>14</v>
      </c>
      <c r="D15" s="1" t="s">
        <v>15</v>
      </c>
      <c r="E15" s="6">
        <v>46081</v>
      </c>
      <c r="F15" s="1">
        <v>10</v>
      </c>
      <c r="G15" s="3">
        <v>150</v>
      </c>
      <c r="H15" s="3">
        <f t="shared" si="0"/>
        <v>1500</v>
      </c>
    </row>
    <row r="16" spans="1:8" ht="15.75" customHeight="1" x14ac:dyDescent="0.2">
      <c r="A16" s="1" t="s">
        <v>19</v>
      </c>
      <c r="B16" s="4" t="s">
        <v>58</v>
      </c>
      <c r="C16" s="9" t="s">
        <v>14</v>
      </c>
      <c r="D16" s="1" t="s">
        <v>9</v>
      </c>
      <c r="E16" s="6">
        <v>46085</v>
      </c>
      <c r="F16" s="1">
        <v>1</v>
      </c>
      <c r="G16" s="3">
        <v>3500</v>
      </c>
      <c r="H16" s="3">
        <f t="shared" si="0"/>
        <v>3500</v>
      </c>
    </row>
    <row r="17" spans="1:8" ht="15.75" customHeight="1" x14ac:dyDescent="0.2">
      <c r="A17" s="1" t="s">
        <v>13</v>
      </c>
      <c r="B17" s="4" t="s">
        <v>59</v>
      </c>
      <c r="C17" s="9" t="s">
        <v>14</v>
      </c>
      <c r="D17" s="1" t="s">
        <v>9</v>
      </c>
      <c r="E17" s="6">
        <v>46089</v>
      </c>
      <c r="F17" s="1">
        <v>1</v>
      </c>
      <c r="G17" s="3">
        <v>3500</v>
      </c>
      <c r="H17" s="3">
        <f t="shared" si="0"/>
        <v>3500</v>
      </c>
    </row>
    <row r="18" spans="1:8" ht="15.75" customHeight="1" x14ac:dyDescent="0.2">
      <c r="A18" s="1" t="s">
        <v>7</v>
      </c>
      <c r="B18" s="4" t="s">
        <v>60</v>
      </c>
      <c r="C18" s="9" t="s">
        <v>14</v>
      </c>
      <c r="D18" s="1" t="s">
        <v>12</v>
      </c>
      <c r="E18" s="6">
        <v>46093</v>
      </c>
      <c r="F18" s="1">
        <v>2</v>
      </c>
      <c r="G18" s="3">
        <v>1200</v>
      </c>
      <c r="H18" s="3">
        <f t="shared" si="0"/>
        <v>2400</v>
      </c>
    </row>
    <row r="19" spans="1:8" ht="15.75" customHeight="1" x14ac:dyDescent="0.2">
      <c r="A19" s="1" t="s">
        <v>19</v>
      </c>
      <c r="B19" s="4" t="s">
        <v>61</v>
      </c>
      <c r="C19" s="9" t="s">
        <v>14</v>
      </c>
      <c r="D19" s="1" t="s">
        <v>9</v>
      </c>
      <c r="E19" s="6">
        <v>46097</v>
      </c>
      <c r="F19" s="1">
        <v>1</v>
      </c>
      <c r="G19" s="3">
        <v>3500</v>
      </c>
      <c r="H19" s="3">
        <f t="shared" si="0"/>
        <v>3500</v>
      </c>
    </row>
    <row r="20" spans="1:8" ht="15.75" customHeight="1" x14ac:dyDescent="0.2">
      <c r="A20" s="1" t="s">
        <v>13</v>
      </c>
      <c r="B20" s="4" t="s">
        <v>62</v>
      </c>
      <c r="C20" s="9" t="s">
        <v>14</v>
      </c>
      <c r="D20" s="1" t="s">
        <v>12</v>
      </c>
      <c r="E20" s="6">
        <v>46101</v>
      </c>
      <c r="F20" s="1">
        <v>1</v>
      </c>
      <c r="G20" s="3">
        <v>1200</v>
      </c>
      <c r="H20" s="3">
        <f t="shared" si="0"/>
        <v>1200</v>
      </c>
    </row>
    <row r="21" spans="1:8" ht="15.75" customHeight="1" x14ac:dyDescent="0.2">
      <c r="A21" s="1" t="s">
        <v>7</v>
      </c>
      <c r="B21" s="4" t="s">
        <v>63</v>
      </c>
      <c r="C21" s="9" t="s">
        <v>14</v>
      </c>
      <c r="D21" s="1" t="s">
        <v>9</v>
      </c>
      <c r="E21" s="6">
        <v>46105</v>
      </c>
      <c r="F21" s="1">
        <v>1</v>
      </c>
      <c r="G21" s="3">
        <v>3500</v>
      </c>
      <c r="H21" s="3">
        <f t="shared" si="0"/>
        <v>3500</v>
      </c>
    </row>
    <row r="22" spans="1:8" ht="15.75" customHeight="1" x14ac:dyDescent="0.2">
      <c r="A22" s="1" t="s">
        <v>19</v>
      </c>
      <c r="B22" s="4" t="s">
        <v>64</v>
      </c>
      <c r="C22" s="9" t="s">
        <v>14</v>
      </c>
      <c r="D22" s="1" t="s">
        <v>12</v>
      </c>
      <c r="E22" s="6">
        <v>46109</v>
      </c>
      <c r="F22" s="1">
        <v>2</v>
      </c>
      <c r="G22" s="3">
        <v>1200</v>
      </c>
      <c r="H22" s="3">
        <f t="shared" si="0"/>
        <v>2400</v>
      </c>
    </row>
    <row r="23" spans="1:8" ht="15.75" customHeight="1" x14ac:dyDescent="0.2">
      <c r="A23" s="1" t="s">
        <v>13</v>
      </c>
      <c r="B23" s="4" t="s">
        <v>65</v>
      </c>
      <c r="C23" s="9" t="s">
        <v>14</v>
      </c>
      <c r="D23" s="1" t="s">
        <v>22</v>
      </c>
      <c r="E23" s="6">
        <v>46113</v>
      </c>
      <c r="F23" s="1">
        <v>1</v>
      </c>
      <c r="G23" s="3">
        <v>1500</v>
      </c>
      <c r="H23" s="3">
        <f t="shared" si="0"/>
        <v>1500</v>
      </c>
    </row>
    <row r="24" spans="1:8" ht="15.75" customHeight="1" x14ac:dyDescent="0.2">
      <c r="A24" s="1" t="s">
        <v>7</v>
      </c>
      <c r="B24" s="4" t="s">
        <v>66</v>
      </c>
      <c r="C24" s="9" t="s">
        <v>14</v>
      </c>
      <c r="D24" s="1" t="s">
        <v>18</v>
      </c>
      <c r="E24" s="6">
        <v>46117</v>
      </c>
      <c r="F24" s="1">
        <v>10</v>
      </c>
      <c r="G24" s="3">
        <v>80</v>
      </c>
      <c r="H24" s="3">
        <f t="shared" si="0"/>
        <v>800</v>
      </c>
    </row>
    <row r="25" spans="1:8" ht="15.75" customHeight="1" x14ac:dyDescent="0.2">
      <c r="A25" s="1" t="s">
        <v>19</v>
      </c>
      <c r="B25" s="4" t="s">
        <v>67</v>
      </c>
      <c r="C25" s="9" t="s">
        <v>14</v>
      </c>
      <c r="D25" s="1" t="s">
        <v>21</v>
      </c>
      <c r="E25" s="6">
        <v>46121</v>
      </c>
      <c r="F25" s="1">
        <v>4</v>
      </c>
      <c r="G25" s="3">
        <v>800</v>
      </c>
      <c r="H25" s="3">
        <f t="shared" si="0"/>
        <v>3200</v>
      </c>
    </row>
    <row r="26" spans="1:8" ht="15.75" customHeight="1" x14ac:dyDescent="0.2">
      <c r="A26" s="1" t="s">
        <v>13</v>
      </c>
      <c r="B26" s="4" t="s">
        <v>68</v>
      </c>
      <c r="C26" s="9" t="s">
        <v>14</v>
      </c>
      <c r="D26" s="1" t="s">
        <v>9</v>
      </c>
      <c r="E26" s="6">
        <v>46125</v>
      </c>
      <c r="F26" s="1">
        <v>1</v>
      </c>
      <c r="G26" s="3">
        <v>3500</v>
      </c>
      <c r="H26" s="3">
        <f t="shared" si="0"/>
        <v>3500</v>
      </c>
    </row>
    <row r="27" spans="1:8" ht="15.75" customHeight="1" x14ac:dyDescent="0.2">
      <c r="A27" s="1" t="s">
        <v>10</v>
      </c>
      <c r="B27" s="4" t="s">
        <v>69</v>
      </c>
      <c r="C27" s="10" t="s">
        <v>11</v>
      </c>
      <c r="D27" s="1" t="s">
        <v>12</v>
      </c>
      <c r="E27" s="6">
        <v>46028</v>
      </c>
      <c r="F27" s="1">
        <v>5</v>
      </c>
      <c r="G27" s="3">
        <v>1200</v>
      </c>
      <c r="H27" s="3">
        <f t="shared" si="0"/>
        <v>6000</v>
      </c>
    </row>
    <row r="28" spans="1:8" ht="15.75" customHeight="1" x14ac:dyDescent="0.2">
      <c r="A28" s="1" t="s">
        <v>20</v>
      </c>
      <c r="B28" s="4" t="s">
        <v>70</v>
      </c>
      <c r="C28" s="10" t="s">
        <v>11</v>
      </c>
      <c r="D28" s="1" t="s">
        <v>9</v>
      </c>
      <c r="E28" s="6">
        <v>46032</v>
      </c>
      <c r="F28" s="1">
        <v>1</v>
      </c>
      <c r="G28" s="3">
        <v>3500</v>
      </c>
      <c r="H28" s="3">
        <f t="shared" si="0"/>
        <v>3500</v>
      </c>
    </row>
    <row r="29" spans="1:8" ht="15.75" customHeight="1" x14ac:dyDescent="0.2">
      <c r="A29" s="1" t="s">
        <v>16</v>
      </c>
      <c r="B29" s="4" t="s">
        <v>71</v>
      </c>
      <c r="C29" s="10" t="s">
        <v>11</v>
      </c>
      <c r="D29" s="1" t="s">
        <v>12</v>
      </c>
      <c r="E29" s="6">
        <v>46036</v>
      </c>
      <c r="F29" s="1">
        <v>2</v>
      </c>
      <c r="G29" s="3">
        <v>1200</v>
      </c>
      <c r="H29" s="3">
        <f t="shared" si="0"/>
        <v>2400</v>
      </c>
    </row>
    <row r="30" spans="1:8" ht="15.75" customHeight="1" x14ac:dyDescent="0.2">
      <c r="A30" s="1" t="s">
        <v>10</v>
      </c>
      <c r="B30" s="4" t="s">
        <v>72</v>
      </c>
      <c r="C30" s="10" t="s">
        <v>11</v>
      </c>
      <c r="D30" s="1" t="s">
        <v>21</v>
      </c>
      <c r="E30" s="6">
        <v>46040</v>
      </c>
      <c r="F30" s="1">
        <v>6</v>
      </c>
      <c r="G30" s="3">
        <v>800</v>
      </c>
      <c r="H30" s="3">
        <f t="shared" si="0"/>
        <v>4800</v>
      </c>
    </row>
    <row r="31" spans="1:8" ht="15.75" customHeight="1" x14ac:dyDescent="0.2">
      <c r="A31" s="1" t="s">
        <v>20</v>
      </c>
      <c r="B31" s="4" t="s">
        <v>73</v>
      </c>
      <c r="C31" s="10" t="s">
        <v>11</v>
      </c>
      <c r="D31" s="1" t="s">
        <v>18</v>
      </c>
      <c r="E31" s="6">
        <v>46044</v>
      </c>
      <c r="F31" s="1">
        <v>20</v>
      </c>
      <c r="G31" s="3">
        <v>80</v>
      </c>
      <c r="H31" s="3">
        <f t="shared" si="0"/>
        <v>1600</v>
      </c>
    </row>
    <row r="32" spans="1:8" ht="15.75" customHeight="1" x14ac:dyDescent="0.2">
      <c r="A32" s="1" t="s">
        <v>16</v>
      </c>
      <c r="B32" s="4" t="s">
        <v>74</v>
      </c>
      <c r="C32" s="10" t="s">
        <v>11</v>
      </c>
      <c r="D32" s="1" t="s">
        <v>22</v>
      </c>
      <c r="E32" s="6">
        <v>46048</v>
      </c>
      <c r="F32" s="1">
        <v>1</v>
      </c>
      <c r="G32" s="3">
        <v>1500</v>
      </c>
      <c r="H32" s="3">
        <f t="shared" si="0"/>
        <v>1500</v>
      </c>
    </row>
    <row r="33" spans="1:8" ht="15.75" customHeight="1" x14ac:dyDescent="0.2">
      <c r="A33" s="1" t="s">
        <v>10</v>
      </c>
      <c r="B33" s="4" t="s">
        <v>75</v>
      </c>
      <c r="C33" s="10" t="s">
        <v>11</v>
      </c>
      <c r="D33" s="1" t="s">
        <v>9</v>
      </c>
      <c r="E33" s="6">
        <v>46052</v>
      </c>
      <c r="F33" s="1">
        <v>1</v>
      </c>
      <c r="G33" s="3">
        <v>3500</v>
      </c>
      <c r="H33" s="3">
        <f t="shared" si="0"/>
        <v>3500</v>
      </c>
    </row>
    <row r="34" spans="1:8" ht="15.75" customHeight="1" x14ac:dyDescent="0.2">
      <c r="A34" s="1" t="s">
        <v>20</v>
      </c>
      <c r="B34" s="4" t="s">
        <v>76</v>
      </c>
      <c r="C34" s="10" t="s">
        <v>11</v>
      </c>
      <c r="D34" s="1" t="s">
        <v>9</v>
      </c>
      <c r="E34" s="6">
        <v>46056</v>
      </c>
      <c r="F34" s="1">
        <v>1</v>
      </c>
      <c r="G34" s="3">
        <v>3500</v>
      </c>
      <c r="H34" s="3">
        <f t="shared" si="0"/>
        <v>3500</v>
      </c>
    </row>
    <row r="35" spans="1:8" ht="15.75" customHeight="1" x14ac:dyDescent="0.2">
      <c r="A35" s="1" t="s">
        <v>16</v>
      </c>
      <c r="B35" s="4" t="s">
        <v>77</v>
      </c>
      <c r="C35" s="10" t="s">
        <v>11</v>
      </c>
      <c r="D35" s="1" t="s">
        <v>12</v>
      </c>
      <c r="E35" s="6">
        <v>46060</v>
      </c>
      <c r="F35" s="1">
        <v>3</v>
      </c>
      <c r="G35" s="3">
        <v>1200</v>
      </c>
      <c r="H35" s="3">
        <f t="shared" si="0"/>
        <v>3600</v>
      </c>
    </row>
    <row r="36" spans="1:8" ht="15.75" customHeight="1" x14ac:dyDescent="0.2">
      <c r="A36" s="1" t="s">
        <v>10</v>
      </c>
      <c r="B36" s="4" t="s">
        <v>78</v>
      </c>
      <c r="C36" s="10" t="s">
        <v>11</v>
      </c>
      <c r="D36" s="1" t="s">
        <v>15</v>
      </c>
      <c r="E36" s="6">
        <v>46064</v>
      </c>
      <c r="F36" s="1">
        <v>15</v>
      </c>
      <c r="G36" s="3">
        <v>150</v>
      </c>
      <c r="H36" s="3">
        <f t="shared" si="0"/>
        <v>2250</v>
      </c>
    </row>
    <row r="37" spans="1:8" ht="15.75" customHeight="1" x14ac:dyDescent="0.2">
      <c r="A37" s="1" t="s">
        <v>20</v>
      </c>
      <c r="B37" s="4" t="s">
        <v>49</v>
      </c>
      <c r="C37" s="10" t="s">
        <v>11</v>
      </c>
      <c r="D37" s="1" t="s">
        <v>12</v>
      </c>
      <c r="E37" s="6">
        <v>46068</v>
      </c>
      <c r="F37" s="1">
        <v>4</v>
      </c>
      <c r="G37" s="3">
        <v>1200</v>
      </c>
      <c r="H37" s="3">
        <f t="shared" si="0"/>
        <v>4800</v>
      </c>
    </row>
    <row r="38" spans="1:8" ht="15.75" customHeight="1" x14ac:dyDescent="0.2">
      <c r="A38" s="1" t="s">
        <v>16</v>
      </c>
      <c r="B38" s="4" t="s">
        <v>79</v>
      </c>
      <c r="C38" s="10" t="s">
        <v>11</v>
      </c>
      <c r="D38" s="1" t="s">
        <v>9</v>
      </c>
      <c r="E38" s="6">
        <v>46072</v>
      </c>
      <c r="F38" s="1">
        <v>1</v>
      </c>
      <c r="G38" s="3">
        <v>3500</v>
      </c>
      <c r="H38" s="3">
        <f t="shared" si="0"/>
        <v>3500</v>
      </c>
    </row>
    <row r="39" spans="1:8" ht="15.75" customHeight="1" x14ac:dyDescent="0.2">
      <c r="A39" s="1" t="s">
        <v>10</v>
      </c>
      <c r="B39" s="4" t="s">
        <v>80</v>
      </c>
      <c r="C39" s="10" t="s">
        <v>11</v>
      </c>
      <c r="D39" s="1" t="s">
        <v>22</v>
      </c>
      <c r="E39" s="6">
        <v>46076</v>
      </c>
      <c r="F39" s="1">
        <v>1</v>
      </c>
      <c r="G39" s="3">
        <v>1500</v>
      </c>
      <c r="H39" s="3">
        <f t="shared" si="0"/>
        <v>1500</v>
      </c>
    </row>
    <row r="40" spans="1:8" ht="15.75" customHeight="1" x14ac:dyDescent="0.2">
      <c r="A40" s="1" t="s">
        <v>20</v>
      </c>
      <c r="B40" s="4" t="s">
        <v>81</v>
      </c>
      <c r="C40" s="10" t="s">
        <v>11</v>
      </c>
      <c r="D40" s="1" t="s">
        <v>12</v>
      </c>
      <c r="E40" s="6">
        <v>46080</v>
      </c>
      <c r="F40" s="1">
        <v>5</v>
      </c>
      <c r="G40" s="3">
        <v>1200</v>
      </c>
      <c r="H40" s="3">
        <f t="shared" si="0"/>
        <v>6000</v>
      </c>
    </row>
    <row r="41" spans="1:8" ht="15.75" customHeight="1" x14ac:dyDescent="0.2">
      <c r="A41" s="1" t="s">
        <v>16</v>
      </c>
      <c r="B41" s="4" t="s">
        <v>82</v>
      </c>
      <c r="C41" s="10" t="s">
        <v>11</v>
      </c>
      <c r="D41" s="1" t="s">
        <v>21</v>
      </c>
      <c r="E41" s="6">
        <v>46084</v>
      </c>
      <c r="F41" s="1">
        <v>2</v>
      </c>
      <c r="G41" s="3">
        <v>800</v>
      </c>
      <c r="H41" s="3">
        <f t="shared" si="0"/>
        <v>1600</v>
      </c>
    </row>
    <row r="42" spans="1:8" ht="15.75" customHeight="1" x14ac:dyDescent="0.2">
      <c r="A42" s="1" t="s">
        <v>10</v>
      </c>
      <c r="B42" s="4" t="s">
        <v>83</v>
      </c>
      <c r="C42" s="10" t="s">
        <v>11</v>
      </c>
      <c r="D42" s="1" t="s">
        <v>18</v>
      </c>
      <c r="E42" s="6">
        <v>46088</v>
      </c>
      <c r="F42" s="1">
        <v>15</v>
      </c>
      <c r="G42" s="3">
        <v>80</v>
      </c>
      <c r="H42" s="3">
        <f t="shared" si="0"/>
        <v>1200</v>
      </c>
    </row>
    <row r="43" spans="1:8" ht="15.75" customHeight="1" x14ac:dyDescent="0.2">
      <c r="A43" s="1" t="s">
        <v>20</v>
      </c>
      <c r="B43" s="4" t="s">
        <v>84</v>
      </c>
      <c r="C43" s="10" t="s">
        <v>11</v>
      </c>
      <c r="D43" s="1" t="s">
        <v>22</v>
      </c>
      <c r="E43" s="6">
        <v>46092</v>
      </c>
      <c r="F43" s="1">
        <v>1</v>
      </c>
      <c r="G43" s="3">
        <v>1500</v>
      </c>
      <c r="H43" s="3">
        <f t="shared" si="0"/>
        <v>1500</v>
      </c>
    </row>
    <row r="44" spans="1:8" ht="15.75" customHeight="1" x14ac:dyDescent="0.2">
      <c r="A44" s="1" t="s">
        <v>16</v>
      </c>
      <c r="B44" s="4" t="s">
        <v>45</v>
      </c>
      <c r="C44" s="10" t="s">
        <v>11</v>
      </c>
      <c r="D44" s="1" t="s">
        <v>18</v>
      </c>
      <c r="E44" s="6">
        <v>46096</v>
      </c>
      <c r="F44" s="1">
        <v>10</v>
      </c>
      <c r="G44" s="3">
        <v>80</v>
      </c>
      <c r="H44" s="3">
        <f t="shared" si="0"/>
        <v>800</v>
      </c>
    </row>
    <row r="45" spans="1:8" ht="15.75" customHeight="1" x14ac:dyDescent="0.2">
      <c r="A45" s="1" t="s">
        <v>10</v>
      </c>
      <c r="B45" s="4" t="s">
        <v>85</v>
      </c>
      <c r="C45" s="10" t="s">
        <v>11</v>
      </c>
      <c r="D45" s="1" t="s">
        <v>21</v>
      </c>
      <c r="E45" s="6">
        <v>46100</v>
      </c>
      <c r="F45" s="1">
        <v>3</v>
      </c>
      <c r="G45" s="3">
        <v>800</v>
      </c>
      <c r="H45" s="3">
        <f t="shared" si="0"/>
        <v>2400</v>
      </c>
    </row>
    <row r="46" spans="1:8" ht="15.75" customHeight="1" x14ac:dyDescent="0.2">
      <c r="A46" s="1" t="s">
        <v>20</v>
      </c>
      <c r="B46" s="4" t="s">
        <v>86</v>
      </c>
      <c r="C46" s="10" t="s">
        <v>11</v>
      </c>
      <c r="D46" s="1" t="s">
        <v>18</v>
      </c>
      <c r="E46" s="6">
        <v>46104</v>
      </c>
      <c r="F46" s="1">
        <v>20</v>
      </c>
      <c r="G46" s="3">
        <v>80</v>
      </c>
      <c r="H46" s="3">
        <f t="shared" si="0"/>
        <v>1600</v>
      </c>
    </row>
    <row r="47" spans="1:8" ht="15.75" customHeight="1" x14ac:dyDescent="0.2">
      <c r="A47" s="1" t="s">
        <v>16</v>
      </c>
      <c r="B47" s="4" t="s">
        <v>87</v>
      </c>
      <c r="C47" s="10" t="s">
        <v>11</v>
      </c>
      <c r="D47" s="1" t="s">
        <v>22</v>
      </c>
      <c r="E47" s="6">
        <v>46108</v>
      </c>
      <c r="F47" s="1">
        <v>1</v>
      </c>
      <c r="G47" s="3">
        <v>1500</v>
      </c>
      <c r="H47" s="3">
        <f t="shared" si="0"/>
        <v>1500</v>
      </c>
    </row>
    <row r="48" spans="1:8" ht="15.75" customHeight="1" x14ac:dyDescent="0.2">
      <c r="A48" s="1" t="s">
        <v>10</v>
      </c>
      <c r="B48" s="4" t="s">
        <v>88</v>
      </c>
      <c r="C48" s="10" t="s">
        <v>11</v>
      </c>
      <c r="D48" s="1" t="s">
        <v>9</v>
      </c>
      <c r="E48" s="6">
        <v>46112</v>
      </c>
      <c r="F48" s="1">
        <v>1</v>
      </c>
      <c r="G48" s="3">
        <v>3500</v>
      </c>
      <c r="H48" s="3">
        <f t="shared" si="0"/>
        <v>3500</v>
      </c>
    </row>
    <row r="49" spans="1:8" ht="15.75" customHeight="1" x14ac:dyDescent="0.2">
      <c r="A49" s="1" t="s">
        <v>20</v>
      </c>
      <c r="B49" s="4" t="s">
        <v>89</v>
      </c>
      <c r="C49" s="10" t="s">
        <v>11</v>
      </c>
      <c r="D49" s="1" t="s">
        <v>9</v>
      </c>
      <c r="E49" s="6">
        <v>46116</v>
      </c>
      <c r="F49" s="1">
        <v>1</v>
      </c>
      <c r="G49" s="3">
        <v>3500</v>
      </c>
      <c r="H49" s="3">
        <f t="shared" si="0"/>
        <v>3500</v>
      </c>
    </row>
    <row r="50" spans="1:8" ht="15.75" customHeight="1" x14ac:dyDescent="0.2">
      <c r="A50" s="1" t="s">
        <v>16</v>
      </c>
      <c r="B50" s="4" t="s">
        <v>90</v>
      </c>
      <c r="C50" s="10" t="s">
        <v>11</v>
      </c>
      <c r="D50" s="1" t="s">
        <v>12</v>
      </c>
      <c r="E50" s="6">
        <v>46120</v>
      </c>
      <c r="F50" s="1">
        <v>2</v>
      </c>
      <c r="G50" s="3">
        <v>1200</v>
      </c>
      <c r="H50" s="3">
        <f t="shared" si="0"/>
        <v>2400</v>
      </c>
    </row>
    <row r="51" spans="1:8" ht="15.75" customHeight="1" x14ac:dyDescent="0.2">
      <c r="A51" s="1" t="s">
        <v>10</v>
      </c>
      <c r="B51" s="4" t="s">
        <v>91</v>
      </c>
      <c r="C51" s="10" t="s">
        <v>11</v>
      </c>
      <c r="D51" s="1" t="s">
        <v>15</v>
      </c>
      <c r="E51" s="6">
        <v>46124</v>
      </c>
      <c r="F51" s="1">
        <v>10</v>
      </c>
      <c r="G51" s="3">
        <v>150</v>
      </c>
      <c r="H51" s="3">
        <f t="shared" si="0"/>
        <v>1500</v>
      </c>
    </row>
    <row r="52" spans="1:8" ht="15.75" customHeight="1" x14ac:dyDescent="0.2">
      <c r="A52" s="1" t="s">
        <v>16</v>
      </c>
      <c r="B52" s="4" t="s">
        <v>92</v>
      </c>
      <c r="C52" s="11" t="s">
        <v>17</v>
      </c>
      <c r="D52" s="1" t="s">
        <v>18</v>
      </c>
      <c r="E52" s="6">
        <v>46030</v>
      </c>
      <c r="F52" s="1">
        <v>15</v>
      </c>
      <c r="G52" s="3">
        <v>80</v>
      </c>
      <c r="H52" s="3">
        <f t="shared" si="0"/>
        <v>1200</v>
      </c>
    </row>
    <row r="53" spans="1:8" ht="15.75" customHeight="1" x14ac:dyDescent="0.2">
      <c r="A53" s="1" t="s">
        <v>10</v>
      </c>
      <c r="B53" s="4" t="s">
        <v>93</v>
      </c>
      <c r="C53" s="11" t="s">
        <v>17</v>
      </c>
      <c r="D53" s="1" t="s">
        <v>22</v>
      </c>
      <c r="E53" s="6">
        <v>46034</v>
      </c>
      <c r="F53" s="1">
        <v>2</v>
      </c>
      <c r="G53" s="3">
        <v>1500</v>
      </c>
      <c r="H53" s="3">
        <f t="shared" si="0"/>
        <v>3000</v>
      </c>
    </row>
    <row r="54" spans="1:8" ht="15.75" customHeight="1" x14ac:dyDescent="0.2">
      <c r="A54" s="1" t="s">
        <v>20</v>
      </c>
      <c r="B54" s="4" t="s">
        <v>94</v>
      </c>
      <c r="C54" s="11" t="s">
        <v>17</v>
      </c>
      <c r="D54" s="1" t="s">
        <v>18</v>
      </c>
      <c r="E54" s="6">
        <v>46038</v>
      </c>
      <c r="F54" s="1">
        <v>12</v>
      </c>
      <c r="G54" s="3">
        <v>80</v>
      </c>
      <c r="H54" s="3">
        <f t="shared" si="0"/>
        <v>960</v>
      </c>
    </row>
    <row r="55" spans="1:8" ht="15.75" customHeight="1" x14ac:dyDescent="0.2">
      <c r="A55" s="1" t="s">
        <v>16</v>
      </c>
      <c r="B55" s="4" t="s">
        <v>44</v>
      </c>
      <c r="C55" s="11" t="s">
        <v>17</v>
      </c>
      <c r="D55" s="1" t="s">
        <v>9</v>
      </c>
      <c r="E55" s="6">
        <v>46042</v>
      </c>
      <c r="F55" s="1">
        <v>2</v>
      </c>
      <c r="G55" s="3">
        <v>3500</v>
      </c>
      <c r="H55" s="3">
        <f t="shared" si="0"/>
        <v>7000</v>
      </c>
    </row>
    <row r="56" spans="1:8" ht="15.75" customHeight="1" x14ac:dyDescent="0.2">
      <c r="A56" s="1" t="s">
        <v>10</v>
      </c>
      <c r="B56" s="4" t="s">
        <v>95</v>
      </c>
      <c r="C56" s="11" t="s">
        <v>17</v>
      </c>
      <c r="D56" s="1" t="s">
        <v>12</v>
      </c>
      <c r="E56" s="6">
        <v>46046</v>
      </c>
      <c r="F56" s="1">
        <v>4</v>
      </c>
      <c r="G56" s="3">
        <v>1200</v>
      </c>
      <c r="H56" s="3">
        <f t="shared" si="0"/>
        <v>4800</v>
      </c>
    </row>
    <row r="57" spans="1:8" ht="15.75" customHeight="1" x14ac:dyDescent="0.2">
      <c r="A57" s="1" t="s">
        <v>20</v>
      </c>
      <c r="B57" s="4" t="s">
        <v>96</v>
      </c>
      <c r="C57" s="11" t="s">
        <v>17</v>
      </c>
      <c r="D57" s="1" t="s">
        <v>15</v>
      </c>
      <c r="E57" s="6">
        <v>46050</v>
      </c>
      <c r="F57" s="1">
        <v>10</v>
      </c>
      <c r="G57" s="3">
        <v>150</v>
      </c>
      <c r="H57" s="3">
        <f t="shared" si="0"/>
        <v>1500</v>
      </c>
    </row>
    <row r="58" spans="1:8" ht="15.75" customHeight="1" x14ac:dyDescent="0.2">
      <c r="A58" s="1" t="s">
        <v>16</v>
      </c>
      <c r="B58" s="4" t="s">
        <v>97</v>
      </c>
      <c r="C58" s="11" t="s">
        <v>17</v>
      </c>
      <c r="D58" s="1" t="s">
        <v>21</v>
      </c>
      <c r="E58" s="6">
        <v>46054</v>
      </c>
      <c r="F58" s="1">
        <v>3</v>
      </c>
      <c r="G58" s="3">
        <v>800</v>
      </c>
      <c r="H58" s="3">
        <f t="shared" si="0"/>
        <v>2400</v>
      </c>
    </row>
    <row r="59" spans="1:8" ht="15.75" customHeight="1" x14ac:dyDescent="0.2">
      <c r="A59" s="1" t="s">
        <v>10</v>
      </c>
      <c r="B59" s="4" t="s">
        <v>98</v>
      </c>
      <c r="C59" s="11" t="s">
        <v>17</v>
      </c>
      <c r="D59" s="1" t="s">
        <v>15</v>
      </c>
      <c r="E59" s="6">
        <v>46058</v>
      </c>
      <c r="F59" s="1">
        <v>10</v>
      </c>
      <c r="G59" s="3">
        <v>150</v>
      </c>
      <c r="H59" s="3">
        <f t="shared" si="0"/>
        <v>1500</v>
      </c>
    </row>
    <row r="60" spans="1:8" ht="15.75" customHeight="1" x14ac:dyDescent="0.2">
      <c r="A60" s="1" t="s">
        <v>20</v>
      </c>
      <c r="B60" s="4" t="s">
        <v>99</v>
      </c>
      <c r="C60" s="11" t="s">
        <v>17</v>
      </c>
      <c r="D60" s="1" t="s">
        <v>22</v>
      </c>
      <c r="E60" s="6">
        <v>46062</v>
      </c>
      <c r="F60" s="1">
        <v>1</v>
      </c>
      <c r="G60" s="3">
        <v>1500</v>
      </c>
      <c r="H60" s="3">
        <f t="shared" si="0"/>
        <v>1500</v>
      </c>
    </row>
    <row r="61" spans="1:8" ht="15.75" customHeight="1" x14ac:dyDescent="0.2">
      <c r="A61" s="1" t="s">
        <v>16</v>
      </c>
      <c r="B61" s="4" t="s">
        <v>100</v>
      </c>
      <c r="C61" s="11" t="s">
        <v>17</v>
      </c>
      <c r="D61" s="1" t="s">
        <v>18</v>
      </c>
      <c r="E61" s="6">
        <v>46066</v>
      </c>
      <c r="F61" s="1">
        <v>30</v>
      </c>
      <c r="G61" s="3">
        <v>80</v>
      </c>
      <c r="H61" s="3">
        <f t="shared" si="0"/>
        <v>2400</v>
      </c>
    </row>
    <row r="62" spans="1:8" ht="15.75" customHeight="1" x14ac:dyDescent="0.2">
      <c r="A62" s="1" t="s">
        <v>10</v>
      </c>
      <c r="B62" s="4" t="s">
        <v>101</v>
      </c>
      <c r="C62" s="11" t="s">
        <v>17</v>
      </c>
      <c r="D62" s="1" t="s">
        <v>21</v>
      </c>
      <c r="E62" s="6">
        <v>46070</v>
      </c>
      <c r="F62" s="1">
        <v>4</v>
      </c>
      <c r="G62" s="3">
        <v>800</v>
      </c>
      <c r="H62" s="3">
        <f t="shared" si="0"/>
        <v>3200</v>
      </c>
    </row>
    <row r="63" spans="1:8" ht="15.75" customHeight="1" x14ac:dyDescent="0.2">
      <c r="A63" s="1" t="s">
        <v>20</v>
      </c>
      <c r="B63" s="4" t="s">
        <v>102</v>
      </c>
      <c r="C63" s="11" t="s">
        <v>17</v>
      </c>
      <c r="D63" s="1" t="s">
        <v>15</v>
      </c>
      <c r="E63" s="6">
        <v>46074</v>
      </c>
      <c r="F63" s="1">
        <v>12</v>
      </c>
      <c r="G63" s="3">
        <v>150</v>
      </c>
      <c r="H63" s="3">
        <f t="shared" si="0"/>
        <v>1800</v>
      </c>
    </row>
    <row r="64" spans="1:8" ht="15.75" customHeight="1" x14ac:dyDescent="0.2">
      <c r="A64" s="1" t="s">
        <v>16</v>
      </c>
      <c r="B64" s="4" t="s">
        <v>103</v>
      </c>
      <c r="C64" s="11" t="s">
        <v>17</v>
      </c>
      <c r="D64" s="1" t="s">
        <v>9</v>
      </c>
      <c r="E64" s="6">
        <v>46078</v>
      </c>
      <c r="F64" s="1">
        <v>1</v>
      </c>
      <c r="G64" s="3">
        <v>3500</v>
      </c>
      <c r="H64" s="3">
        <f t="shared" si="0"/>
        <v>3500</v>
      </c>
    </row>
    <row r="65" spans="1:8" ht="15.75" customHeight="1" x14ac:dyDescent="0.2">
      <c r="A65" s="1" t="s">
        <v>10</v>
      </c>
      <c r="B65" s="4" t="s">
        <v>104</v>
      </c>
      <c r="C65" s="11" t="s">
        <v>17</v>
      </c>
      <c r="D65" s="1" t="s">
        <v>9</v>
      </c>
      <c r="E65" s="6">
        <v>46082</v>
      </c>
      <c r="F65" s="1">
        <v>1</v>
      </c>
      <c r="G65" s="3">
        <v>3500</v>
      </c>
      <c r="H65" s="3">
        <f t="shared" si="0"/>
        <v>3500</v>
      </c>
    </row>
    <row r="66" spans="1:8" ht="15.75" customHeight="1" x14ac:dyDescent="0.2">
      <c r="A66" s="1" t="s">
        <v>20</v>
      </c>
      <c r="B66" s="4" t="s">
        <v>105</v>
      </c>
      <c r="C66" s="11" t="s">
        <v>17</v>
      </c>
      <c r="D66" s="1" t="s">
        <v>12</v>
      </c>
      <c r="E66" s="6">
        <v>46086</v>
      </c>
      <c r="F66" s="1">
        <v>2</v>
      </c>
      <c r="G66" s="3">
        <v>1200</v>
      </c>
      <c r="H66" s="3">
        <f t="shared" si="0"/>
        <v>2400</v>
      </c>
    </row>
    <row r="67" spans="1:8" ht="15.75" customHeight="1" x14ac:dyDescent="0.2">
      <c r="A67" s="1" t="s">
        <v>16</v>
      </c>
      <c r="B67" s="4" t="s">
        <v>106</v>
      </c>
      <c r="C67" s="11" t="s">
        <v>17</v>
      </c>
      <c r="D67" s="1" t="s">
        <v>12</v>
      </c>
      <c r="E67" s="6">
        <v>46090</v>
      </c>
      <c r="F67" s="1">
        <v>3</v>
      </c>
      <c r="G67" s="3">
        <v>1200</v>
      </c>
      <c r="H67" s="3">
        <f t="shared" ref="H67:H102" si="1">F67*G67</f>
        <v>3600</v>
      </c>
    </row>
    <row r="68" spans="1:8" ht="15.75" customHeight="1" x14ac:dyDescent="0.2">
      <c r="A68" s="1" t="s">
        <v>10</v>
      </c>
      <c r="B68" s="4" t="s">
        <v>107</v>
      </c>
      <c r="C68" s="11" t="s">
        <v>17</v>
      </c>
      <c r="D68" s="1" t="s">
        <v>9</v>
      </c>
      <c r="E68" s="6">
        <v>46094</v>
      </c>
      <c r="F68" s="1">
        <v>1</v>
      </c>
      <c r="G68" s="3">
        <v>3500</v>
      </c>
      <c r="H68" s="3">
        <f t="shared" si="1"/>
        <v>3500</v>
      </c>
    </row>
    <row r="69" spans="1:8" ht="15.75" customHeight="1" x14ac:dyDescent="0.2">
      <c r="A69" s="1" t="s">
        <v>20</v>
      </c>
      <c r="B69" s="4" t="s">
        <v>108</v>
      </c>
      <c r="C69" s="11" t="s">
        <v>17</v>
      </c>
      <c r="D69" s="1" t="s">
        <v>12</v>
      </c>
      <c r="E69" s="6">
        <v>46098</v>
      </c>
      <c r="F69" s="1">
        <v>4</v>
      </c>
      <c r="G69" s="3">
        <v>1200</v>
      </c>
      <c r="H69" s="3">
        <f t="shared" si="1"/>
        <v>4800</v>
      </c>
    </row>
    <row r="70" spans="1:8" ht="15.75" customHeight="1" x14ac:dyDescent="0.2">
      <c r="A70" s="1" t="s">
        <v>16</v>
      </c>
      <c r="B70" s="4" t="s">
        <v>109</v>
      </c>
      <c r="C70" s="11" t="s">
        <v>17</v>
      </c>
      <c r="D70" s="1" t="s">
        <v>9</v>
      </c>
      <c r="E70" s="6">
        <v>46102</v>
      </c>
      <c r="F70" s="1">
        <v>1</v>
      </c>
      <c r="G70" s="3">
        <v>3500</v>
      </c>
      <c r="H70" s="3">
        <f t="shared" si="1"/>
        <v>3500</v>
      </c>
    </row>
    <row r="71" spans="1:8" ht="15.75" customHeight="1" x14ac:dyDescent="0.2">
      <c r="A71" s="1" t="s">
        <v>10</v>
      </c>
      <c r="B71" s="4" t="s">
        <v>110</v>
      </c>
      <c r="C71" s="11" t="s">
        <v>17</v>
      </c>
      <c r="D71" s="1" t="s">
        <v>12</v>
      </c>
      <c r="E71" s="6">
        <v>46106</v>
      </c>
      <c r="F71" s="1">
        <v>3</v>
      </c>
      <c r="G71" s="3">
        <v>1200</v>
      </c>
      <c r="H71" s="3">
        <f t="shared" si="1"/>
        <v>3600</v>
      </c>
    </row>
    <row r="72" spans="1:8" ht="15.75" customHeight="1" x14ac:dyDescent="0.2">
      <c r="A72" s="1" t="s">
        <v>20</v>
      </c>
      <c r="B72" s="4" t="s">
        <v>111</v>
      </c>
      <c r="C72" s="11" t="s">
        <v>17</v>
      </c>
      <c r="D72" s="1" t="s">
        <v>15</v>
      </c>
      <c r="E72" s="6">
        <v>46110</v>
      </c>
      <c r="F72" s="1">
        <v>15</v>
      </c>
      <c r="G72" s="3">
        <v>150</v>
      </c>
      <c r="H72" s="3">
        <f t="shared" si="1"/>
        <v>2250</v>
      </c>
    </row>
    <row r="73" spans="1:8" ht="15.75" customHeight="1" x14ac:dyDescent="0.2">
      <c r="A73" s="1" t="s">
        <v>16</v>
      </c>
      <c r="B73" s="4" t="s">
        <v>112</v>
      </c>
      <c r="C73" s="11" t="s">
        <v>17</v>
      </c>
      <c r="D73" s="1" t="s">
        <v>21</v>
      </c>
      <c r="E73" s="6">
        <v>46114</v>
      </c>
      <c r="F73" s="1">
        <v>2</v>
      </c>
      <c r="G73" s="3">
        <v>800</v>
      </c>
      <c r="H73" s="3">
        <f t="shared" si="1"/>
        <v>1600</v>
      </c>
    </row>
    <row r="74" spans="1:8" ht="15.75" customHeight="1" x14ac:dyDescent="0.2">
      <c r="A74" s="1" t="s">
        <v>10</v>
      </c>
      <c r="B74" s="4" t="s">
        <v>113</v>
      </c>
      <c r="C74" s="11" t="s">
        <v>17</v>
      </c>
      <c r="D74" s="1" t="s">
        <v>15</v>
      </c>
      <c r="E74" s="6">
        <v>46118</v>
      </c>
      <c r="F74" s="1">
        <v>5</v>
      </c>
      <c r="G74" s="3">
        <v>150</v>
      </c>
      <c r="H74" s="3">
        <f t="shared" si="1"/>
        <v>750</v>
      </c>
    </row>
    <row r="75" spans="1:8" ht="15.75" customHeight="1" x14ac:dyDescent="0.2">
      <c r="A75" s="1" t="s">
        <v>20</v>
      </c>
      <c r="B75" s="4" t="s">
        <v>114</v>
      </c>
      <c r="C75" s="11" t="s">
        <v>17</v>
      </c>
      <c r="D75" s="1" t="s">
        <v>22</v>
      </c>
      <c r="E75" s="6">
        <v>46122</v>
      </c>
      <c r="F75" s="1">
        <v>2</v>
      </c>
      <c r="G75" s="3">
        <v>1500</v>
      </c>
      <c r="H75" s="3">
        <f t="shared" si="1"/>
        <v>3000</v>
      </c>
    </row>
    <row r="76" spans="1:8" ht="15.75" customHeight="1" x14ac:dyDescent="0.2">
      <c r="A76" s="1" t="s">
        <v>16</v>
      </c>
      <c r="B76" s="4" t="s">
        <v>115</v>
      </c>
      <c r="C76" s="11" t="s">
        <v>17</v>
      </c>
      <c r="D76" s="1" t="s">
        <v>18</v>
      </c>
      <c r="E76" s="6">
        <v>46126</v>
      </c>
      <c r="F76" s="1">
        <v>20</v>
      </c>
      <c r="G76" s="3">
        <v>80</v>
      </c>
      <c r="H76" s="3">
        <f t="shared" si="1"/>
        <v>1600</v>
      </c>
    </row>
    <row r="77" spans="1:8" ht="15.75" customHeight="1" x14ac:dyDescent="0.2">
      <c r="A77" s="1" t="s">
        <v>7</v>
      </c>
      <c r="B77" s="4" t="s">
        <v>116</v>
      </c>
      <c r="C77" s="12" t="s">
        <v>8</v>
      </c>
      <c r="D77" s="1" t="s">
        <v>9</v>
      </c>
      <c r="E77" s="6">
        <v>46027</v>
      </c>
      <c r="F77" s="1">
        <v>2</v>
      </c>
      <c r="G77" s="3">
        <v>3500</v>
      </c>
      <c r="H77" s="3">
        <f t="shared" si="1"/>
        <v>7000</v>
      </c>
    </row>
    <row r="78" spans="1:8" ht="15.75" customHeight="1" x14ac:dyDescent="0.2">
      <c r="A78" s="1" t="s">
        <v>19</v>
      </c>
      <c r="B78" s="4" t="s">
        <v>117</v>
      </c>
      <c r="C78" s="12" t="s">
        <v>8</v>
      </c>
      <c r="D78" s="1" t="s">
        <v>12</v>
      </c>
      <c r="E78" s="6">
        <v>46031</v>
      </c>
      <c r="F78" s="1">
        <v>3</v>
      </c>
      <c r="G78" s="3">
        <v>1200</v>
      </c>
      <c r="H78" s="3">
        <f t="shared" si="1"/>
        <v>3600</v>
      </c>
    </row>
    <row r="79" spans="1:8" ht="15.75" customHeight="1" x14ac:dyDescent="0.2">
      <c r="A79" s="1" t="s">
        <v>13</v>
      </c>
      <c r="B79" s="4" t="s">
        <v>118</v>
      </c>
      <c r="C79" s="12" t="s">
        <v>8</v>
      </c>
      <c r="D79" s="1" t="s">
        <v>9</v>
      </c>
      <c r="E79" s="6">
        <v>46035</v>
      </c>
      <c r="F79" s="1">
        <v>1</v>
      </c>
      <c r="G79" s="3">
        <v>3500</v>
      </c>
      <c r="H79" s="3">
        <f t="shared" si="1"/>
        <v>3500</v>
      </c>
    </row>
    <row r="80" spans="1:8" ht="15.75" customHeight="1" x14ac:dyDescent="0.2">
      <c r="A80" s="1" t="s">
        <v>7</v>
      </c>
      <c r="B80" s="4" t="s">
        <v>119</v>
      </c>
      <c r="C80" s="12" t="s">
        <v>8</v>
      </c>
      <c r="D80" s="1" t="s">
        <v>22</v>
      </c>
      <c r="E80" s="6">
        <v>46039</v>
      </c>
      <c r="F80" s="1">
        <v>1</v>
      </c>
      <c r="G80" s="3">
        <v>1500</v>
      </c>
      <c r="H80" s="3">
        <f t="shared" si="1"/>
        <v>1500</v>
      </c>
    </row>
    <row r="81" spans="1:8" ht="15.75" customHeight="1" x14ac:dyDescent="0.2">
      <c r="A81" s="1" t="s">
        <v>19</v>
      </c>
      <c r="B81" s="4" t="s">
        <v>120</v>
      </c>
      <c r="C81" s="12" t="s">
        <v>8</v>
      </c>
      <c r="D81" s="1" t="s">
        <v>15</v>
      </c>
      <c r="E81" s="6">
        <v>46043</v>
      </c>
      <c r="F81" s="1">
        <v>5</v>
      </c>
      <c r="G81" s="3">
        <v>150</v>
      </c>
      <c r="H81" s="3">
        <f t="shared" si="1"/>
        <v>750</v>
      </c>
    </row>
    <row r="82" spans="1:8" ht="15.75" customHeight="1" x14ac:dyDescent="0.2">
      <c r="A82" s="1" t="s">
        <v>13</v>
      </c>
      <c r="B82" s="4" t="s">
        <v>121</v>
      </c>
      <c r="C82" s="12" t="s">
        <v>8</v>
      </c>
      <c r="D82" s="1" t="s">
        <v>21</v>
      </c>
      <c r="E82" s="6">
        <v>46047</v>
      </c>
      <c r="F82" s="1">
        <v>2</v>
      </c>
      <c r="G82" s="3">
        <v>800</v>
      </c>
      <c r="H82" s="3">
        <f t="shared" si="1"/>
        <v>1600</v>
      </c>
    </row>
    <row r="83" spans="1:8" ht="15.75" customHeight="1" x14ac:dyDescent="0.2">
      <c r="A83" s="1" t="s">
        <v>7</v>
      </c>
      <c r="B83" s="4" t="s">
        <v>122</v>
      </c>
      <c r="C83" s="12" t="s">
        <v>8</v>
      </c>
      <c r="D83" s="1" t="s">
        <v>18</v>
      </c>
      <c r="E83" s="6">
        <v>46051</v>
      </c>
      <c r="F83" s="1">
        <v>15</v>
      </c>
      <c r="G83" s="3">
        <v>80</v>
      </c>
      <c r="H83" s="3">
        <f t="shared" si="1"/>
        <v>1200</v>
      </c>
    </row>
    <row r="84" spans="1:8" ht="15.75" customHeight="1" x14ac:dyDescent="0.2">
      <c r="A84" s="1" t="s">
        <v>19</v>
      </c>
      <c r="B84" s="4" t="s">
        <v>123</v>
      </c>
      <c r="C84" s="12" t="s">
        <v>8</v>
      </c>
      <c r="D84" s="1" t="s">
        <v>12</v>
      </c>
      <c r="E84" s="6">
        <v>46055</v>
      </c>
      <c r="F84" s="1">
        <v>4</v>
      </c>
      <c r="G84" s="3">
        <v>1200</v>
      </c>
      <c r="H84" s="3">
        <f t="shared" si="1"/>
        <v>4800</v>
      </c>
    </row>
    <row r="85" spans="1:8" ht="15.75" customHeight="1" x14ac:dyDescent="0.2">
      <c r="A85" s="1" t="s">
        <v>13</v>
      </c>
      <c r="B85" s="4" t="s">
        <v>124</v>
      </c>
      <c r="C85" s="12" t="s">
        <v>8</v>
      </c>
      <c r="D85" s="1" t="s">
        <v>9</v>
      </c>
      <c r="E85" s="6">
        <v>46059</v>
      </c>
      <c r="F85" s="1">
        <v>2</v>
      </c>
      <c r="G85" s="3">
        <v>3500</v>
      </c>
      <c r="H85" s="3">
        <f t="shared" si="1"/>
        <v>7000</v>
      </c>
    </row>
    <row r="86" spans="1:8" ht="15.75" customHeight="1" x14ac:dyDescent="0.2">
      <c r="A86" s="1" t="s">
        <v>7</v>
      </c>
      <c r="B86" s="4" t="s">
        <v>125</v>
      </c>
      <c r="C86" s="12" t="s">
        <v>8</v>
      </c>
      <c r="D86" s="1" t="s">
        <v>12</v>
      </c>
      <c r="E86" s="6">
        <v>46063</v>
      </c>
      <c r="F86" s="1">
        <v>2</v>
      </c>
      <c r="G86" s="3">
        <v>1200</v>
      </c>
      <c r="H86" s="3">
        <f t="shared" si="1"/>
        <v>2400</v>
      </c>
    </row>
    <row r="87" spans="1:8" ht="15.75" customHeight="1" x14ac:dyDescent="0.2">
      <c r="A87" s="1" t="s">
        <v>19</v>
      </c>
      <c r="B87" s="4" t="s">
        <v>126</v>
      </c>
      <c r="C87" s="12" t="s">
        <v>8</v>
      </c>
      <c r="D87" s="1" t="s">
        <v>9</v>
      </c>
      <c r="E87" s="6">
        <v>46067</v>
      </c>
      <c r="F87" s="1">
        <v>1</v>
      </c>
      <c r="G87" s="3">
        <v>3500</v>
      </c>
      <c r="H87" s="3">
        <f t="shared" si="1"/>
        <v>3500</v>
      </c>
    </row>
    <row r="88" spans="1:8" ht="15.75" customHeight="1" x14ac:dyDescent="0.2">
      <c r="A88" s="1" t="s">
        <v>13</v>
      </c>
      <c r="B88" s="4" t="s">
        <v>127</v>
      </c>
      <c r="C88" s="12" t="s">
        <v>8</v>
      </c>
      <c r="D88" s="1" t="s">
        <v>18</v>
      </c>
      <c r="E88" s="6">
        <v>46071</v>
      </c>
      <c r="F88" s="1">
        <v>10</v>
      </c>
      <c r="G88" s="3">
        <v>80</v>
      </c>
      <c r="H88" s="3">
        <f t="shared" si="1"/>
        <v>800</v>
      </c>
    </row>
    <row r="89" spans="1:8" ht="15.75" customHeight="1" x14ac:dyDescent="0.2">
      <c r="A89" s="1" t="s">
        <v>7</v>
      </c>
      <c r="B89" s="4" t="s">
        <v>128</v>
      </c>
      <c r="C89" s="12" t="s">
        <v>8</v>
      </c>
      <c r="D89" s="1" t="s">
        <v>21</v>
      </c>
      <c r="E89" s="6">
        <v>46075</v>
      </c>
      <c r="F89" s="1">
        <v>3</v>
      </c>
      <c r="G89" s="3">
        <v>800</v>
      </c>
      <c r="H89" s="3">
        <f t="shared" si="1"/>
        <v>2400</v>
      </c>
    </row>
    <row r="90" spans="1:8" ht="15.75" customHeight="1" x14ac:dyDescent="0.2">
      <c r="A90" s="1" t="s">
        <v>19</v>
      </c>
      <c r="B90" s="4" t="s">
        <v>129</v>
      </c>
      <c r="C90" s="12" t="s">
        <v>8</v>
      </c>
      <c r="D90" s="1" t="s">
        <v>18</v>
      </c>
      <c r="E90" s="6">
        <v>46079</v>
      </c>
      <c r="F90" s="1">
        <v>20</v>
      </c>
      <c r="G90" s="3">
        <v>80</v>
      </c>
      <c r="H90" s="3">
        <f t="shared" si="1"/>
        <v>1600</v>
      </c>
    </row>
    <row r="91" spans="1:8" ht="15.75" customHeight="1" x14ac:dyDescent="0.2">
      <c r="A91" s="1" t="s">
        <v>13</v>
      </c>
      <c r="B91" s="4" t="s">
        <v>130</v>
      </c>
      <c r="C91" s="12" t="s">
        <v>8</v>
      </c>
      <c r="D91" s="1" t="s">
        <v>22</v>
      </c>
      <c r="E91" s="6">
        <v>46083</v>
      </c>
      <c r="F91" s="1">
        <v>1</v>
      </c>
      <c r="G91" s="3">
        <v>1500</v>
      </c>
      <c r="H91" s="3">
        <f t="shared" si="1"/>
        <v>1500</v>
      </c>
    </row>
    <row r="92" spans="1:8" ht="15.75" customHeight="1" x14ac:dyDescent="0.2">
      <c r="A92" s="1" t="s">
        <v>7</v>
      </c>
      <c r="B92" s="4" t="s">
        <v>131</v>
      </c>
      <c r="C92" s="12" t="s">
        <v>8</v>
      </c>
      <c r="D92" s="1" t="s">
        <v>15</v>
      </c>
      <c r="E92" s="6">
        <v>46087</v>
      </c>
      <c r="F92" s="1">
        <v>6</v>
      </c>
      <c r="G92" s="3">
        <v>150</v>
      </c>
      <c r="H92" s="3">
        <f t="shared" si="1"/>
        <v>900</v>
      </c>
    </row>
    <row r="93" spans="1:8" ht="15.75" customHeight="1" x14ac:dyDescent="0.2">
      <c r="A93" s="1" t="s">
        <v>19</v>
      </c>
      <c r="B93" s="4" t="s">
        <v>132</v>
      </c>
      <c r="C93" s="12" t="s">
        <v>8</v>
      </c>
      <c r="D93" s="1" t="s">
        <v>21</v>
      </c>
      <c r="E93" s="6">
        <v>46091</v>
      </c>
      <c r="F93" s="1">
        <v>4</v>
      </c>
      <c r="G93" s="3">
        <v>800</v>
      </c>
      <c r="H93" s="3">
        <f t="shared" si="1"/>
        <v>3200</v>
      </c>
    </row>
    <row r="94" spans="1:8" ht="15.75" customHeight="1" x14ac:dyDescent="0.2">
      <c r="A94" s="1" t="s">
        <v>13</v>
      </c>
      <c r="B94" s="4" t="s">
        <v>133</v>
      </c>
      <c r="C94" s="12" t="s">
        <v>8</v>
      </c>
      <c r="D94" s="1" t="s">
        <v>15</v>
      </c>
      <c r="E94" s="6">
        <v>46095</v>
      </c>
      <c r="F94" s="1">
        <v>8</v>
      </c>
      <c r="G94" s="3">
        <v>150</v>
      </c>
      <c r="H94" s="3">
        <f t="shared" si="1"/>
        <v>1200</v>
      </c>
    </row>
    <row r="95" spans="1:8" ht="15.75" customHeight="1" x14ac:dyDescent="0.2">
      <c r="A95" s="1" t="s">
        <v>7</v>
      </c>
      <c r="B95" s="4" t="s">
        <v>134</v>
      </c>
      <c r="C95" s="12" t="s">
        <v>8</v>
      </c>
      <c r="D95" s="1" t="s">
        <v>22</v>
      </c>
      <c r="E95" s="6">
        <v>46099</v>
      </c>
      <c r="F95" s="1">
        <v>2</v>
      </c>
      <c r="G95" s="3">
        <v>1500</v>
      </c>
      <c r="H95" s="3">
        <f t="shared" si="1"/>
        <v>3000</v>
      </c>
    </row>
    <row r="96" spans="1:8" ht="15.75" customHeight="1" x14ac:dyDescent="0.2">
      <c r="A96" s="1" t="s">
        <v>19</v>
      </c>
      <c r="B96" s="4" t="s">
        <v>135</v>
      </c>
      <c r="C96" s="12" t="s">
        <v>8</v>
      </c>
      <c r="D96" s="1" t="s">
        <v>15</v>
      </c>
      <c r="E96" s="6">
        <v>46103</v>
      </c>
      <c r="F96" s="1">
        <v>10</v>
      </c>
      <c r="G96" s="3">
        <v>150</v>
      </c>
      <c r="H96" s="3">
        <f t="shared" si="1"/>
        <v>1500</v>
      </c>
    </row>
    <row r="97" spans="1:8" ht="15.75" customHeight="1" x14ac:dyDescent="0.2">
      <c r="A97" s="1" t="s">
        <v>13</v>
      </c>
      <c r="B97" s="4" t="s">
        <v>136</v>
      </c>
      <c r="C97" s="12" t="s">
        <v>8</v>
      </c>
      <c r="D97" s="1" t="s">
        <v>21</v>
      </c>
      <c r="E97" s="6">
        <v>46107</v>
      </c>
      <c r="F97" s="1">
        <v>5</v>
      </c>
      <c r="G97" s="3">
        <v>800</v>
      </c>
      <c r="H97" s="3">
        <f t="shared" si="1"/>
        <v>4000</v>
      </c>
    </row>
    <row r="98" spans="1:8" ht="15.75" customHeight="1" x14ac:dyDescent="0.2">
      <c r="A98" s="1" t="s">
        <v>7</v>
      </c>
      <c r="B98" s="4" t="s">
        <v>137</v>
      </c>
      <c r="C98" s="12" t="s">
        <v>8</v>
      </c>
      <c r="D98" s="1" t="s">
        <v>18</v>
      </c>
      <c r="E98" s="6">
        <v>46111</v>
      </c>
      <c r="F98" s="1">
        <v>12</v>
      </c>
      <c r="G98" s="3">
        <v>80</v>
      </c>
      <c r="H98" s="3">
        <f t="shared" si="1"/>
        <v>960</v>
      </c>
    </row>
    <row r="99" spans="1:8" ht="15.75" customHeight="1" x14ac:dyDescent="0.2">
      <c r="A99" s="1" t="s">
        <v>19</v>
      </c>
      <c r="B99" s="4" t="s">
        <v>138</v>
      </c>
      <c r="C99" s="12" t="s">
        <v>8</v>
      </c>
      <c r="D99" s="1" t="s">
        <v>12</v>
      </c>
      <c r="E99" s="6">
        <v>46115</v>
      </c>
      <c r="F99" s="1">
        <v>3</v>
      </c>
      <c r="G99" s="3">
        <v>1200</v>
      </c>
      <c r="H99" s="3">
        <f t="shared" si="1"/>
        <v>3600</v>
      </c>
    </row>
    <row r="100" spans="1:8" ht="15.75" customHeight="1" x14ac:dyDescent="0.2">
      <c r="A100" s="1" t="s">
        <v>13</v>
      </c>
      <c r="B100" s="4" t="s">
        <v>139</v>
      </c>
      <c r="C100" s="12" t="s">
        <v>8</v>
      </c>
      <c r="D100" s="1" t="s">
        <v>9</v>
      </c>
      <c r="E100" s="6">
        <v>46119</v>
      </c>
      <c r="F100" s="1">
        <v>1</v>
      </c>
      <c r="G100" s="3">
        <v>3500</v>
      </c>
      <c r="H100" s="3">
        <f t="shared" si="1"/>
        <v>3500</v>
      </c>
    </row>
    <row r="101" spans="1:8" ht="15.75" customHeight="1" x14ac:dyDescent="0.2">
      <c r="A101" s="1" t="s">
        <v>7</v>
      </c>
      <c r="B101" s="4" t="s">
        <v>140</v>
      </c>
      <c r="C101" s="12" t="s">
        <v>8</v>
      </c>
      <c r="D101" s="1" t="s">
        <v>12</v>
      </c>
      <c r="E101" s="6">
        <v>46123</v>
      </c>
      <c r="F101" s="1">
        <v>1</v>
      </c>
      <c r="G101" s="3">
        <v>1200</v>
      </c>
      <c r="H101" s="3">
        <f t="shared" si="1"/>
        <v>1200</v>
      </c>
    </row>
    <row r="102" spans="1:8" ht="15.75" customHeight="1" x14ac:dyDescent="0.2">
      <c r="A102" s="5" t="s">
        <v>35</v>
      </c>
      <c r="B102" s="4" t="s">
        <v>141</v>
      </c>
      <c r="C102" s="12" t="s">
        <v>8</v>
      </c>
      <c r="D102" s="1" t="s">
        <v>42</v>
      </c>
      <c r="E102" s="6">
        <v>46127</v>
      </c>
      <c r="F102" s="1">
        <v>1</v>
      </c>
      <c r="G102" s="3">
        <v>3500</v>
      </c>
      <c r="H102" s="3">
        <f t="shared" si="1"/>
        <v>3500</v>
      </c>
    </row>
    <row r="105" spans="1:8" ht="15" x14ac:dyDescent="0.25">
      <c r="A105" s="18" t="s">
        <v>23</v>
      </c>
      <c r="B105" s="18"/>
      <c r="C105" s="18"/>
    </row>
    <row r="106" spans="1:8" ht="15" x14ac:dyDescent="0.25">
      <c r="A106" s="7" t="s">
        <v>0</v>
      </c>
      <c r="B106" s="7" t="s">
        <v>1</v>
      </c>
      <c r="C106" s="7" t="s">
        <v>2</v>
      </c>
    </row>
    <row r="107" spans="1:8" ht="15.75" customHeight="1" x14ac:dyDescent="0.2">
      <c r="A107" s="1"/>
      <c r="B107" s="1"/>
      <c r="C107" s="1"/>
    </row>
    <row r="109" spans="1:8" ht="15" x14ac:dyDescent="0.25">
      <c r="A109" s="17" t="s">
        <v>24</v>
      </c>
      <c r="B109" s="17"/>
      <c r="C109" s="17"/>
      <c r="D109" s="17"/>
    </row>
    <row r="110" spans="1:8" ht="15" x14ac:dyDescent="0.25">
      <c r="A110" s="7" t="s">
        <v>25</v>
      </c>
      <c r="B110" s="14" t="s">
        <v>36</v>
      </c>
      <c r="C110" s="15"/>
      <c r="D110" s="16"/>
    </row>
    <row r="111" spans="1:8" ht="15.75" customHeight="1" x14ac:dyDescent="0.2">
      <c r="A111" s="2" t="s">
        <v>26</v>
      </c>
      <c r="B111" s="19" t="s">
        <v>37</v>
      </c>
      <c r="C111" s="19"/>
      <c r="D111" s="3">
        <f>DSUM(Banco,$H$1,$A$106:$C$107)</f>
        <v>275920</v>
      </c>
      <c r="E111" t="str">
        <f ca="1">_xlfn.FORMULATEXT(D111)</f>
        <v>=BDSOMA(Banco;$H$1;$A$106:$C$107)</v>
      </c>
    </row>
    <row r="112" spans="1:8" ht="15.75" customHeight="1" x14ac:dyDescent="0.2">
      <c r="A112" s="2" t="s">
        <v>27</v>
      </c>
      <c r="B112" s="19" t="s">
        <v>38</v>
      </c>
      <c r="C112" s="19"/>
      <c r="D112" s="3">
        <f>DAVERAGE(Banco,"Quantidade",$A$106:$C$107)</f>
        <v>5.1980198019801982</v>
      </c>
      <c r="E112" t="str">
        <f t="shared" ref="E112:E117" ca="1" si="2">_xlfn.FORMULATEXT(D112)</f>
        <v>=BDMÉDIA(Banco;"Quantidade";$A$106:$C$107)</v>
      </c>
    </row>
    <row r="113" spans="1:5" ht="15.75" customHeight="1" x14ac:dyDescent="0.2">
      <c r="A113" s="2" t="s">
        <v>28</v>
      </c>
      <c r="B113" s="19" t="s">
        <v>39</v>
      </c>
      <c r="C113" s="19"/>
      <c r="D113" s="3">
        <f>DMAX(Banco,"Preço Unitário",$A$106:$C$107)</f>
        <v>3500</v>
      </c>
      <c r="E113" t="str">
        <f t="shared" ca="1" si="2"/>
        <v>=BDMÁX(Banco;"Preço Unitário";$A$106:$C$107)</v>
      </c>
    </row>
    <row r="114" spans="1:5" ht="15.75" customHeight="1" x14ac:dyDescent="0.2">
      <c r="A114" s="2" t="s">
        <v>29</v>
      </c>
      <c r="B114" s="19" t="s">
        <v>40</v>
      </c>
      <c r="C114" s="19"/>
      <c r="D114" s="3">
        <f>DMIN(Banco,"Preço Unitário",$A$106:$C$107)</f>
        <v>80</v>
      </c>
      <c r="E114" t="str">
        <f t="shared" ca="1" si="2"/>
        <v>=BDMÍN(Banco;"Preço Unitário";$A$106:$C$107)</v>
      </c>
    </row>
    <row r="115" spans="1:5" ht="15.75" customHeight="1" x14ac:dyDescent="0.2">
      <c r="A115" s="2" t="s">
        <v>30</v>
      </c>
      <c r="B115" s="19" t="s">
        <v>41</v>
      </c>
      <c r="C115" s="19"/>
      <c r="D115" s="3"/>
    </row>
    <row r="116" spans="1:5" ht="15.75" customHeight="1" x14ac:dyDescent="0.2">
      <c r="A116" s="2" t="s">
        <v>31</v>
      </c>
      <c r="B116" s="19" t="s">
        <v>32</v>
      </c>
      <c r="C116" s="19"/>
      <c r="D116" s="8">
        <f>DCOUNT(Banco,$H$1,$A$106:$C$107)</f>
        <v>101</v>
      </c>
      <c r="E116" t="str">
        <f t="shared" ca="1" si="2"/>
        <v>=BDCONTAR(Banco;$H$1;$A$106:$C$107)</v>
      </c>
    </row>
    <row r="117" spans="1:5" ht="15.75" customHeight="1" x14ac:dyDescent="0.2">
      <c r="A117" s="2" t="s">
        <v>33</v>
      </c>
      <c r="B117" s="19" t="s">
        <v>34</v>
      </c>
      <c r="C117" s="19"/>
      <c r="D117" s="8">
        <f>DCOUNTA(Banco,$H$1,$A$106:$C$107)</f>
        <v>101</v>
      </c>
      <c r="E117" t="str">
        <f t="shared" ca="1" si="2"/>
        <v>=BDCONTARA(Banco;$H$1;$A$106:$C$107)</v>
      </c>
    </row>
  </sheetData>
  <sortState xmlns:xlrd2="http://schemas.microsoft.com/office/spreadsheetml/2017/richdata2" ref="A2:G102">
    <sortCondition ref="B2:B102"/>
  </sortState>
  <mergeCells count="10">
    <mergeCell ref="B115:C115"/>
    <mergeCell ref="B116:C116"/>
    <mergeCell ref="B117:C117"/>
    <mergeCell ref="B113:C113"/>
    <mergeCell ref="B114:C114"/>
    <mergeCell ref="B110:D110"/>
    <mergeCell ref="A109:D109"/>
    <mergeCell ref="A105:C105"/>
    <mergeCell ref="B111:C111"/>
    <mergeCell ref="B112:C112"/>
  </mergeCells>
  <phoneticPr fontId="9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Vendas - Funções BD</vt:lpstr>
      <vt:lpstr>Banco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EDSON DAVID PEREIRA</cp:lastModifiedBy>
  <dcterms:modified xsi:type="dcterms:W3CDTF">2026-05-21T17:48:16Z</dcterms:modified>
</cp:coreProperties>
</file>